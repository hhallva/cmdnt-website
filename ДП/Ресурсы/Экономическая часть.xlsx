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vv\Downloads\"/>
    </mc:Choice>
  </mc:AlternateContent>
  <xr:revisionPtr revIDLastSave="0" documentId="13_ncr:1_{5EA6A3A9-C47C-426F-A44F-328DBA271DBB}" xr6:coauthVersionLast="47" xr6:coauthVersionMax="47" xr10:uidLastSave="{00000000-0000-0000-0000-000000000000}"/>
  <bookViews>
    <workbookView xWindow="43095" yWindow="0" windowWidth="14610" windowHeight="15585" xr2:uid="{4B5BF2D2-6468-494A-A058-D8821C81D191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F10" i="1"/>
  <c r="B7" i="1"/>
  <c r="F13" i="1"/>
  <c r="F4" i="1"/>
  <c r="F17" i="1" l="1"/>
  <c r="B12" i="1"/>
  <c r="B9" i="1"/>
  <c r="B11" i="1"/>
  <c r="B10" i="1"/>
  <c r="F19" i="1" l="1"/>
  <c r="F8" i="1"/>
  <c r="F2" i="1" s="1"/>
  <c r="B13" i="1"/>
  <c r="F20" i="1" l="1"/>
  <c r="B15" i="1"/>
  <c r="B16" i="1" s="1"/>
  <c r="F3" i="1" s="1"/>
  <c r="F1" i="1" l="1"/>
  <c r="K1" i="1" s="1"/>
  <c r="C25" i="1" s="1"/>
  <c r="B17" i="1"/>
  <c r="B18" i="1" s="1"/>
  <c r="C18" i="1" l="1"/>
</calcChain>
</file>

<file path=xl/sharedStrings.xml><?xml version="1.0" encoding="utf-8"?>
<sst xmlns="http://schemas.openxmlformats.org/spreadsheetml/2006/main" count="47" uniqueCount="42">
  <si>
    <t>Зспп</t>
  </si>
  <si>
    <t>q</t>
  </si>
  <si>
    <t>c</t>
  </si>
  <si>
    <t>p</t>
  </si>
  <si>
    <t>K</t>
  </si>
  <si>
    <t>Q (шт)</t>
  </si>
  <si>
    <t>tо</t>
  </si>
  <si>
    <t>tи</t>
  </si>
  <si>
    <t>tа</t>
  </si>
  <si>
    <t>tп</t>
  </si>
  <si>
    <t xml:space="preserve">B </t>
  </si>
  <si>
    <t>tот</t>
  </si>
  <si>
    <t>tAот</t>
  </si>
  <si>
    <t>tд</t>
  </si>
  <si>
    <t>t (чел/ч)</t>
  </si>
  <si>
    <t>tдр</t>
  </si>
  <si>
    <t>tдо</t>
  </si>
  <si>
    <t>Дни (8/день)</t>
  </si>
  <si>
    <t>Зобщ</t>
  </si>
  <si>
    <t>Змв спп</t>
  </si>
  <si>
    <t>Зэвм</t>
  </si>
  <si>
    <t>Ззп</t>
  </si>
  <si>
    <t>Зсв</t>
  </si>
  <si>
    <t>Зпр</t>
  </si>
  <si>
    <t>Счас</t>
  </si>
  <si>
    <t>tэвм</t>
  </si>
  <si>
    <t>Tэвм (маш/час)</t>
  </si>
  <si>
    <t>Рэвм</t>
  </si>
  <si>
    <t>Сэвм</t>
  </si>
  <si>
    <t>За</t>
  </si>
  <si>
    <t>МРОТ:</t>
  </si>
  <si>
    <t>Кд</t>
  </si>
  <si>
    <t>tпр</t>
  </si>
  <si>
    <t>Кпр</t>
  </si>
  <si>
    <t>Зэл</t>
  </si>
  <si>
    <t>PK</t>
  </si>
  <si>
    <t>CK</t>
  </si>
  <si>
    <t>Зам</t>
  </si>
  <si>
    <t>издержки на прочие и накладные расходы</t>
  </si>
  <si>
    <t>издержки на страховые взносы с оплаты труда</t>
  </si>
  <si>
    <t>издержки на электроенергию</t>
  </si>
  <si>
    <t>издержки на заработную плату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</si>
</sst>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ptos Narrow"/>
      <family val="2"/>
      <scheme val="minor"/>
    </font>
    <font>
      <sz val="14"/>
      <color theme="1"/>
      <name val="Aptos Narrow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2" fontId="0" fillId="0" borderId="1" xfId="0" applyNumberFormat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Fill="1"/>
    <xf numFmtId="164" fontId="0" fillId="6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0" xfId="0"/>
    <xf numFmtId="0" fontId="0" fillId="2" borderId="6" xfId="0" applyFill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954387887003336"/>
          <c:y val="0.16219525530985918"/>
          <c:w val="0.48072165146539186"/>
          <c:h val="0.67898855719923701"/>
        </c:manualLayout>
      </c:layout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9525" cap="flat" cmpd="sng" algn="ctr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BA-4897-BED5-41D66758F98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7BA-4897-BED5-41D66758F98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7BA-4897-BED5-41D66758F980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BA-4897-BED5-41D66758F980}"/>
              </c:ext>
            </c:extLst>
          </c:dPt>
          <c:dLbls>
            <c:dLbl>
              <c:idx val="0"/>
              <c:layout>
                <c:manualLayout>
                  <c:x val="0.2613627791379432"/>
                  <c:y val="2.37677280878799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343468813979591"/>
                      <c:h val="0.106499072237246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7BA-4897-BED5-41D66758F980}"/>
                </c:ext>
              </c:extLst>
            </c:dLbl>
            <c:dLbl>
              <c:idx val="1"/>
              <c:layout>
                <c:manualLayout>
                  <c:x val="4.6630307030689599E-2"/>
                  <c:y val="-4.400440223556843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936293741854443"/>
                      <c:h val="0.108535495849112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7BA-4897-BED5-41D66758F980}"/>
                </c:ext>
              </c:extLst>
            </c:dLbl>
            <c:dLbl>
              <c:idx val="2"/>
              <c:layout>
                <c:manualLayout>
                  <c:x val="-2.4282977915214794E-2"/>
                  <c:y val="0.318896268612588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099245304622803"/>
                      <c:h val="0.141524893020051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7BA-4897-BED5-41D66758F980}"/>
                </c:ext>
              </c:extLst>
            </c:dLbl>
            <c:dLbl>
              <c:idx val="3"/>
              <c:layout>
                <c:manualLayout>
                  <c:x val="-0.11646832263287243"/>
                  <c:y val="9.587168100350871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560505285561777"/>
                      <c:h val="0.116193959506061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7BA-4897-BED5-41D66758F9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Лист1!$B$21:$B$24</c:f>
              <c:strCache>
                <c:ptCount val="4"/>
                <c:pt idx="0">
                  <c:v>издержки на электроенергию</c:v>
                </c:pt>
                <c:pt idx="1">
                  <c:v>издержки на заработную плату</c:v>
                </c:pt>
                <c:pt idx="2">
                  <c:v>издержки на страховые взносы с оплаты труда</c:v>
                </c:pt>
                <c:pt idx="3">
                  <c:v>издержки на прочие и накладные расходы</c:v>
                </c:pt>
              </c:strCache>
            </c:strRef>
          </c:cat>
          <c:val>
            <c:numRef>
              <c:f>Лист1!$C$21:$C$24</c:f>
              <c:numCache>
                <c:formatCode>General</c:formatCode>
                <c:ptCount val="4"/>
                <c:pt idx="0">
                  <c:v>665.92</c:v>
                </c:pt>
                <c:pt idx="1">
                  <c:v>46058.1</c:v>
                </c:pt>
                <c:pt idx="2">
                  <c:v>13817.43</c:v>
                </c:pt>
                <c:pt idx="3">
                  <c:v>6659.1683999999996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A-4897-BED5-41D66758F980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87580</xdr:colOff>
      <xdr:row>6</xdr:row>
      <xdr:rowOff>73851</xdr:rowOff>
    </xdr:from>
    <xdr:ext cx="563424" cy="125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ACFC73C-B7E5-4E66-A9FC-F2B63C73D32D}"/>
            </a:ext>
          </a:extLst>
        </xdr:cNvPr>
        <xdr:cNvSpPr txBox="1"/>
      </xdr:nvSpPr>
      <xdr:spPr>
        <a:xfrm>
          <a:off x="1393866" y="1837337"/>
          <a:ext cx="56342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800" i="1"/>
            <a:t>Q=</a:t>
          </a:r>
          <a:r>
            <a:rPr lang="en-US" sz="800" i="1" baseline="0"/>
            <a:t> q*c*(1+p)</a:t>
          </a:r>
          <a:endParaRPr lang="ru-RU" sz="800" i="1"/>
        </a:p>
      </xdr:txBody>
    </xdr:sp>
    <xdr:clientData/>
  </xdr:oneCellAnchor>
  <xdr:oneCellAnchor>
    <xdr:from>
      <xdr:col>2</xdr:col>
      <xdr:colOff>84715</xdr:colOff>
      <xdr:row>8</xdr:row>
      <xdr:rowOff>33340</xdr:rowOff>
    </xdr:from>
    <xdr:ext cx="722890" cy="24865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9F9E2A6-F8F0-4CD5-A4D3-AF9869DF4AE4}"/>
                </a:ext>
              </a:extLst>
            </xdr:cNvPr>
            <xdr:cNvSpPr txBox="1"/>
          </xdr:nvSpPr>
          <xdr:spPr>
            <a:xfrm>
              <a:off x="1391001" y="2384654"/>
              <a:ext cx="722890" cy="2486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и</m:t>
                        </m:r>
                      </m:sub>
                    </m:sSub>
                    <m:r>
                      <a:rPr lang="en-US" sz="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ru-RU" sz="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800" i="1">
                            <a:latin typeface="Cambria Math" panose="02040503050406030204" pitchFamily="18" charset="0"/>
                          </a:rPr>
                          <m:t>𝑄</m:t>
                        </m:r>
                        <m:r>
                          <a:rPr lang="ru-RU" sz="80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ru-RU" sz="800" i="1">
                            <a:latin typeface="Cambria Math" panose="02040503050406030204" pitchFamily="18" charset="0"/>
                          </a:rPr>
                          <m:t>𝐵</m:t>
                        </m:r>
                      </m:num>
                      <m:den>
                        <m:d>
                          <m:dPr>
                            <m:ctrlPr>
                              <a:rPr lang="ru-RU" sz="8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ru-RU" sz="800" i="1">
                                <a:latin typeface="Cambria Math" panose="02040503050406030204" pitchFamily="18" charset="0"/>
                              </a:rPr>
                              <m:t>75~8</m:t>
                            </m:r>
                            <m:r>
                              <a:rPr lang="ru-RU" sz="8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e>
                        </m:d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𝐾</m:t>
                        </m:r>
                      </m:den>
                    </m:f>
                  </m:oMath>
                </m:oMathPara>
              </a14:m>
              <a:endParaRPr lang="ru-RU" sz="800" i="1">
                <a:latin typeface="+mn-lt"/>
              </a:endParaRPr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9F9E2A6-F8F0-4CD5-A4D3-AF9869DF4AE4}"/>
                </a:ext>
              </a:extLst>
            </xdr:cNvPr>
            <xdr:cNvSpPr txBox="1"/>
          </xdr:nvSpPr>
          <xdr:spPr>
            <a:xfrm>
              <a:off x="1391001" y="2384654"/>
              <a:ext cx="722890" cy="2486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ru-RU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_и</a:t>
              </a:r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r>
                <a:rPr lang="ru-RU" sz="800" i="0">
                  <a:latin typeface="Cambria Math" panose="02040503050406030204" pitchFamily="18" charset="0"/>
                </a:rPr>
                <a:t> (𝑄⋅𝐵)/(75~8</a:t>
              </a:r>
              <a:r>
                <a:rPr lang="ru-RU" sz="800" b="0" i="0">
                  <a:latin typeface="Cambria Math" panose="02040503050406030204" pitchFamily="18" charset="0"/>
                </a:rPr>
                <a:t>5)</a:t>
              </a:r>
              <a:r>
                <a:rPr lang="en-US" sz="800" b="0" i="0">
                  <a:latin typeface="Cambria Math" panose="02040503050406030204" pitchFamily="18" charset="0"/>
                </a:rPr>
                <a:t>𝐾</a:t>
              </a:r>
              <a:endParaRPr lang="ru-RU" sz="800" i="1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2</xdr:col>
      <xdr:colOff>94742</xdr:colOff>
      <xdr:row>9</xdr:row>
      <xdr:rowOff>17883</xdr:rowOff>
    </xdr:from>
    <xdr:ext cx="715259" cy="24865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58315E6-08C2-4406-AE3D-8E933477C8EF}"/>
                </a:ext>
              </a:extLst>
            </xdr:cNvPr>
            <xdr:cNvSpPr txBox="1"/>
          </xdr:nvSpPr>
          <xdr:spPr>
            <a:xfrm>
              <a:off x="1401028" y="2663112"/>
              <a:ext cx="715259" cy="2486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а</m:t>
                        </m:r>
                      </m:sub>
                    </m:sSub>
                    <m:r>
                      <a:rPr lang="en-US" sz="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d>
                          <m:dPr>
                            <m:ctrlPr>
                              <a:rPr lang="en-US" sz="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50~75</m:t>
                            </m:r>
                          </m:e>
                        </m:d>
                        <m:r>
                          <a:rPr lang="en-US" sz="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den>
                    </m:f>
                  </m:oMath>
                </m:oMathPara>
              </a14:m>
              <a:endParaRPr lang="ru-RU" sz="800">
                <a:latin typeface="+mn-lt"/>
              </a:endParaRPr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58315E6-08C2-4406-AE3D-8E933477C8EF}"/>
                </a:ext>
              </a:extLst>
            </xdr:cNvPr>
            <xdr:cNvSpPr txBox="1"/>
          </xdr:nvSpPr>
          <xdr:spPr>
            <a:xfrm>
              <a:off x="1401028" y="2663112"/>
              <a:ext cx="715259" cy="2486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ru-RU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_а</a:t>
              </a:r>
              <a:r>
                <a:rPr lang="en-US" sz="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  𝑄/(50~75)𝐾</a:t>
              </a:r>
              <a:endParaRPr lang="ru-RU" sz="8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2</xdr:col>
      <xdr:colOff>99756</xdr:colOff>
      <xdr:row>10</xdr:row>
      <xdr:rowOff>33419</xdr:rowOff>
    </xdr:from>
    <xdr:ext cx="721159" cy="24865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63278B9-E630-44A9-BCCB-66346D23C25F}"/>
                </a:ext>
              </a:extLst>
            </xdr:cNvPr>
            <xdr:cNvSpPr txBox="1"/>
          </xdr:nvSpPr>
          <xdr:spPr>
            <a:xfrm>
              <a:off x="1406042" y="2972562"/>
              <a:ext cx="721159" cy="2486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п</m:t>
                        </m:r>
                      </m:sub>
                    </m:sSub>
                    <m:r>
                      <a:rPr lang="en-US" sz="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d>
                          <m:dPr>
                            <m:ctrlPr>
                              <a:rPr lang="en-US" sz="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50~75</m:t>
                            </m:r>
                          </m:e>
                        </m:d>
                        <m:r>
                          <a:rPr lang="en-US" sz="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den>
                    </m:f>
                  </m:oMath>
                </m:oMathPara>
              </a14:m>
              <a:endParaRPr lang="ru-RU" sz="800">
                <a:latin typeface="+mn-lt"/>
              </a:endParaRPr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63278B9-E630-44A9-BCCB-66346D23C25F}"/>
                </a:ext>
              </a:extLst>
            </xdr:cNvPr>
            <xdr:cNvSpPr txBox="1"/>
          </xdr:nvSpPr>
          <xdr:spPr>
            <a:xfrm>
              <a:off x="1406042" y="2972562"/>
              <a:ext cx="721159" cy="2486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ru-RU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_п</a:t>
              </a:r>
              <a:r>
                <a:rPr lang="en-US" sz="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  𝑄/(50~75)𝐾</a:t>
              </a:r>
              <a:endParaRPr lang="ru-RU" sz="8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2</xdr:col>
      <xdr:colOff>101371</xdr:colOff>
      <xdr:row>12</xdr:row>
      <xdr:rowOff>95861</xdr:rowOff>
    </xdr:from>
    <xdr:ext cx="671401" cy="1320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7A9894B-F4B2-4865-90D4-F109AD57F3D4}"/>
                </a:ext>
              </a:extLst>
            </xdr:cNvPr>
            <xdr:cNvSpPr txBox="1"/>
          </xdr:nvSpPr>
          <xdr:spPr>
            <a:xfrm>
              <a:off x="1407657" y="3328918"/>
              <a:ext cx="671401" cy="1320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от</m:t>
                        </m:r>
                      </m:sub>
                    </m:sSub>
                    <m:r>
                      <a:rPr lang="ru-RU" sz="800" b="0" i="1">
                        <a:latin typeface="Cambria Math" panose="02040503050406030204" pitchFamily="18" charset="0"/>
                      </a:rPr>
                      <m:t>=1.5 </m:t>
                    </m:r>
                    <m:r>
                      <a:rPr lang="ru-RU" sz="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bSup>
                      <m:sSubSupPr>
                        <m:ctrlPr>
                          <a:rPr lang="ru-RU" sz="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от</m:t>
                        </m:r>
                      </m:sub>
                      <m:sup>
                        <m:r>
                          <a:rPr lang="en-US" sz="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</m:t>
                        </m:r>
                      </m:sup>
                    </m:sSubSup>
                  </m:oMath>
                </m:oMathPara>
              </a14:m>
              <a:endParaRPr lang="ru-RU" sz="800">
                <a:latin typeface="+mn-lt"/>
              </a:endParaRPr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7A9894B-F4B2-4865-90D4-F109AD57F3D4}"/>
                </a:ext>
              </a:extLst>
            </xdr:cNvPr>
            <xdr:cNvSpPr txBox="1"/>
          </xdr:nvSpPr>
          <xdr:spPr>
            <a:xfrm>
              <a:off x="1407657" y="3328918"/>
              <a:ext cx="671401" cy="1320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ru-RU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_от</a:t>
              </a:r>
              <a:r>
                <a:rPr lang="ru-RU" sz="800" b="0" i="0">
                  <a:latin typeface="Cambria Math" panose="02040503050406030204" pitchFamily="18" charset="0"/>
                </a:rPr>
                <a:t>=1.5 </a:t>
              </a:r>
              <a:r>
                <a:rPr lang="ru-RU" sz="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r>
                <a:rPr lang="ru-RU" sz="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_от^</a:t>
              </a:r>
              <a:r>
                <a:rPr lang="en-US" sz="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</a:t>
              </a:r>
              <a:endParaRPr lang="ru-RU" sz="8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2</xdr:col>
      <xdr:colOff>93200</xdr:colOff>
      <xdr:row>11</xdr:row>
      <xdr:rowOff>33738</xdr:rowOff>
    </xdr:from>
    <xdr:ext cx="734175" cy="24865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5979671-0F19-4F0C-B0DA-7CD631E7E44C}"/>
                </a:ext>
              </a:extLst>
            </xdr:cNvPr>
            <xdr:cNvSpPr txBox="1"/>
          </xdr:nvSpPr>
          <xdr:spPr>
            <a:xfrm>
              <a:off x="2031818" y="3608414"/>
              <a:ext cx="734175" cy="2486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от</m:t>
                        </m:r>
                      </m:sub>
                      <m:sup>
                        <m:r>
                          <a:rPr lang="en-US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sup>
                    </m:sSubSup>
                    <m:r>
                      <a:rPr lang="ru-RU" sz="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8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ru-RU" sz="8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𝑄</m:t>
                        </m:r>
                      </m:num>
                      <m:den>
                        <m:d>
                          <m:dPr>
                            <m:ctrlPr>
                              <a:rPr lang="ru-RU" sz="8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50</m:t>
                            </m:r>
                            <m:r>
                              <a:rPr lang="ru-RU" sz="8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~</m:t>
                            </m:r>
                            <m:r>
                              <a:rPr lang="en-US" sz="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75</m:t>
                            </m:r>
                          </m:e>
                        </m:d>
                        <m:r>
                          <a:rPr lang="en-US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den>
                    </m:f>
                  </m:oMath>
                </m:oMathPara>
              </a14:m>
              <a:endParaRPr lang="ru-RU" sz="800" i="1">
                <a:latin typeface="+mn-lt"/>
              </a:endParaRPr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5979671-0F19-4F0C-B0DA-7CD631E7E44C}"/>
                </a:ext>
              </a:extLst>
            </xdr:cNvPr>
            <xdr:cNvSpPr txBox="1"/>
          </xdr:nvSpPr>
          <xdr:spPr>
            <a:xfrm>
              <a:off x="2031818" y="3608414"/>
              <a:ext cx="734175" cy="2486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ru-RU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_от^</a:t>
              </a:r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</a:t>
              </a:r>
              <a:r>
                <a:rPr lang="ru-RU" sz="800" b="0" i="0">
                  <a:latin typeface="Cambria Math" panose="02040503050406030204" pitchFamily="18" charset="0"/>
                </a:rPr>
                <a:t>=</a:t>
              </a:r>
              <a:r>
                <a:rPr lang="ru-RU" sz="8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𝑄/(</a:t>
              </a:r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50</a:t>
              </a:r>
              <a:r>
                <a:rPr lang="ru-RU" sz="8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~</a:t>
              </a:r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75)𝐾</a:t>
              </a:r>
              <a:endParaRPr lang="ru-RU" sz="800" i="1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2</xdr:col>
      <xdr:colOff>102191</xdr:colOff>
      <xdr:row>15</xdr:row>
      <xdr:rowOff>88003</xdr:rowOff>
    </xdr:from>
    <xdr:ext cx="634083" cy="1342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B7C3197-FFD0-4A32-A79E-5CD2CD6A8181}"/>
                </a:ext>
              </a:extLst>
            </xdr:cNvPr>
            <xdr:cNvSpPr txBox="1"/>
          </xdr:nvSpPr>
          <xdr:spPr>
            <a:xfrm>
              <a:off x="1408477" y="3614974"/>
              <a:ext cx="634083" cy="1342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д</m:t>
                        </m:r>
                      </m:sub>
                    </m:sSub>
                    <m:r>
                      <a:rPr lang="ru-RU" sz="8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ru-RU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800" b="0" i="1">
                            <a:latin typeface="Cambria Math" panose="02040503050406030204" pitchFamily="18" charset="0"/>
                          </a:rPr>
                          <m:t>др</m:t>
                        </m:r>
                      </m:sub>
                    </m:sSub>
                    <m:r>
                      <a:rPr lang="ru-RU" sz="800" b="0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ru-RU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800" b="0" i="1">
                            <a:latin typeface="Cambria Math" panose="02040503050406030204" pitchFamily="18" charset="0"/>
                          </a:rPr>
                          <m:t>до</m:t>
                        </m:r>
                      </m:sub>
                    </m:sSub>
                  </m:oMath>
                </m:oMathPara>
              </a14:m>
              <a:endParaRPr lang="ru-RU" sz="800">
                <a:latin typeface="+mn-lt"/>
              </a:endParaRPr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B7C3197-FFD0-4A32-A79E-5CD2CD6A8181}"/>
                </a:ext>
              </a:extLst>
            </xdr:cNvPr>
            <xdr:cNvSpPr txBox="1"/>
          </xdr:nvSpPr>
          <xdr:spPr>
            <a:xfrm>
              <a:off x="1408477" y="3614974"/>
              <a:ext cx="634083" cy="1342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ru-RU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_д</a:t>
              </a:r>
              <a:r>
                <a:rPr lang="ru-RU" sz="800" b="0" i="0">
                  <a:latin typeface="Cambria Math" panose="02040503050406030204" pitchFamily="18" charset="0"/>
                </a:rPr>
                <a:t>=</a:t>
              </a:r>
              <a:r>
                <a:rPr lang="en-US" sz="800" b="0" i="0">
                  <a:latin typeface="Cambria Math" panose="02040503050406030204" pitchFamily="18" charset="0"/>
                </a:rPr>
                <a:t>𝑡</a:t>
              </a:r>
              <a:r>
                <a:rPr lang="ru-RU" sz="800" b="0" i="0">
                  <a:latin typeface="Cambria Math" panose="02040503050406030204" pitchFamily="18" charset="0"/>
                </a:rPr>
                <a:t>_др+ </a:t>
              </a:r>
              <a:r>
                <a:rPr lang="en-US" sz="800" b="0" i="0">
                  <a:latin typeface="Cambria Math" panose="02040503050406030204" pitchFamily="18" charset="0"/>
                </a:rPr>
                <a:t>𝑡</a:t>
              </a:r>
              <a:r>
                <a:rPr lang="ru-RU" sz="800" b="0" i="0">
                  <a:latin typeface="Cambria Math" panose="02040503050406030204" pitchFamily="18" charset="0"/>
                </a:rPr>
                <a:t>_до</a:t>
              </a:r>
              <a:endParaRPr lang="ru-RU" sz="8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2</xdr:col>
      <xdr:colOff>82519</xdr:colOff>
      <xdr:row>13</xdr:row>
      <xdr:rowOff>14111</xdr:rowOff>
    </xdr:from>
    <xdr:ext cx="853247" cy="24865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AF64BC3-5B21-443B-93D8-0D8FA0F04148}"/>
                </a:ext>
              </a:extLst>
            </xdr:cNvPr>
            <xdr:cNvSpPr txBox="1"/>
          </xdr:nvSpPr>
          <xdr:spPr>
            <a:xfrm>
              <a:off x="2021137" y="4238729"/>
              <a:ext cx="853247" cy="2486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др</m:t>
                        </m:r>
                      </m:sub>
                    </m:sSub>
                    <m:r>
                      <a:rPr lang="ru-RU" sz="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d>
                          <m:dPr>
                            <m:ctrlPr>
                              <a:rPr lang="en-US" sz="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800" b="0" i="1">
                                <a:latin typeface="Cambria Math" panose="02040503050406030204" pitchFamily="18" charset="0"/>
                              </a:rPr>
                              <m:t>150~200</m:t>
                            </m:r>
                          </m:e>
                        </m:d>
                        <m:r>
                          <a:rPr lang="en-US" sz="800" b="0" i="1">
                            <a:latin typeface="Cambria Math" panose="02040503050406030204" pitchFamily="18" charset="0"/>
                          </a:rPr>
                          <m:t>𝐾</m:t>
                        </m:r>
                      </m:den>
                    </m:f>
                  </m:oMath>
                </m:oMathPara>
              </a14:m>
              <a:endParaRPr lang="ru-RU" sz="800">
                <a:latin typeface="+mn-lt"/>
              </a:endParaRPr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AF64BC3-5B21-443B-93D8-0D8FA0F04148}"/>
                </a:ext>
              </a:extLst>
            </xdr:cNvPr>
            <xdr:cNvSpPr txBox="1"/>
          </xdr:nvSpPr>
          <xdr:spPr>
            <a:xfrm>
              <a:off x="2021137" y="4238729"/>
              <a:ext cx="853247" cy="2486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ru-RU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_др</a:t>
              </a:r>
              <a:r>
                <a:rPr lang="ru-RU" sz="800" b="0" i="0">
                  <a:latin typeface="Cambria Math" panose="02040503050406030204" pitchFamily="18" charset="0"/>
                </a:rPr>
                <a:t>=</a:t>
              </a:r>
              <a:r>
                <a:rPr lang="en-US" sz="800" b="0" i="0">
                  <a:latin typeface="Cambria Math" panose="02040503050406030204" pitchFamily="18" charset="0"/>
                </a:rPr>
                <a:t>𝑄</a:t>
              </a:r>
              <a:r>
                <a:rPr lang="ru-RU" sz="800" b="0" i="0">
                  <a:latin typeface="Cambria Math" panose="02040503050406030204" pitchFamily="18" charset="0"/>
                </a:rPr>
                <a:t>/</a:t>
              </a:r>
              <a:r>
                <a:rPr lang="en-US" sz="800" b="0" i="0">
                  <a:latin typeface="Cambria Math" panose="02040503050406030204" pitchFamily="18" charset="0"/>
                </a:rPr>
                <a:t>(150~200)𝐾</a:t>
              </a:r>
              <a:endParaRPr lang="ru-RU" sz="8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2</xdr:col>
      <xdr:colOff>90065</xdr:colOff>
      <xdr:row>14</xdr:row>
      <xdr:rowOff>81754</xdr:rowOff>
    </xdr:from>
    <xdr:ext cx="737189" cy="1342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2C00C64-A631-4C60-963A-6369A4EC92A8}"/>
                </a:ext>
              </a:extLst>
            </xdr:cNvPr>
            <xdr:cNvSpPr txBox="1"/>
          </xdr:nvSpPr>
          <xdr:spPr>
            <a:xfrm>
              <a:off x="2028683" y="4631342"/>
              <a:ext cx="737189" cy="1342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до</m:t>
                        </m:r>
                      </m:sub>
                    </m:sSub>
                    <m:r>
                      <a:rPr lang="ru-RU" sz="8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800" b="0" i="1">
                        <a:latin typeface="Cambria Math" panose="02040503050406030204" pitchFamily="18" charset="0"/>
                      </a:rPr>
                      <m:t>0.75 </m:t>
                    </m:r>
                    <m:r>
                      <a:rPr lang="en-US" sz="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др</m:t>
                        </m:r>
                      </m:sub>
                    </m:sSub>
                  </m:oMath>
                </m:oMathPara>
              </a14:m>
              <a:endParaRPr lang="ru-RU" sz="800">
                <a:latin typeface="+mn-lt"/>
              </a:endParaRPr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2C00C64-A631-4C60-963A-6369A4EC92A8}"/>
                </a:ext>
              </a:extLst>
            </xdr:cNvPr>
            <xdr:cNvSpPr txBox="1"/>
          </xdr:nvSpPr>
          <xdr:spPr>
            <a:xfrm>
              <a:off x="2028683" y="4631342"/>
              <a:ext cx="737189" cy="1342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ru-RU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_до</a:t>
              </a:r>
              <a:r>
                <a:rPr lang="ru-RU" sz="800" b="0" i="0">
                  <a:latin typeface="Cambria Math" panose="02040503050406030204" pitchFamily="18" charset="0"/>
                </a:rPr>
                <a:t>=</a:t>
              </a:r>
              <a:r>
                <a:rPr lang="en-US" sz="800" b="0" i="0">
                  <a:latin typeface="Cambria Math" panose="02040503050406030204" pitchFamily="18" charset="0"/>
                </a:rPr>
                <a:t>0.75 </a:t>
              </a:r>
              <a:r>
                <a:rPr lang="en-US" sz="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ru-RU" sz="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_др</a:t>
              </a:r>
              <a:endParaRPr lang="ru-RU" sz="8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6</xdr:col>
      <xdr:colOff>145329</xdr:colOff>
      <xdr:row>12</xdr:row>
      <xdr:rowOff>33010</xdr:rowOff>
    </xdr:from>
    <xdr:ext cx="184447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F2545AA-8BDC-48FE-AC89-8BBF67D4AE81}"/>
                </a:ext>
              </a:extLst>
            </xdr:cNvPr>
            <xdr:cNvSpPr txBox="1"/>
          </xdr:nvSpPr>
          <xdr:spPr>
            <a:xfrm>
              <a:off x="1917807" y="10369706"/>
              <a:ext cx="184447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зп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=оклад ×(1+РК+СК)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F2545AA-8BDC-48FE-AC89-8BBF67D4AE81}"/>
                </a:ext>
              </a:extLst>
            </xdr:cNvPr>
            <xdr:cNvSpPr txBox="1"/>
          </xdr:nvSpPr>
          <xdr:spPr>
            <a:xfrm>
              <a:off x="1917807" y="10369706"/>
              <a:ext cx="184447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З_зп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=оклад ×(1+РК+СК)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141984</xdr:colOff>
      <xdr:row>16</xdr:row>
      <xdr:rowOff>50175</xdr:rowOff>
    </xdr:from>
    <xdr:ext cx="105605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22EDF65C-711C-43BA-B11B-15BEEDCEB0B3}"/>
                </a:ext>
              </a:extLst>
            </xdr:cNvPr>
            <xdr:cNvSpPr txBox="1"/>
          </xdr:nvSpPr>
          <xdr:spPr>
            <a:xfrm>
              <a:off x="1914462" y="11678958"/>
              <a:ext cx="105605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св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зп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×30%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22EDF65C-711C-43BA-B11B-15BEEDCEB0B3}"/>
                </a:ext>
              </a:extLst>
            </xdr:cNvPr>
            <xdr:cNvSpPr txBox="1"/>
          </xdr:nvSpPr>
          <xdr:spPr>
            <a:xfrm>
              <a:off x="1914462" y="11678958"/>
              <a:ext cx="105605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З_св=З_зп  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×30%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124723</xdr:colOff>
      <xdr:row>0</xdr:row>
      <xdr:rowOff>63235</xdr:rowOff>
    </xdr:from>
    <xdr:ext cx="1181477" cy="1855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D646F2C-6054-4953-852A-F72938937343}"/>
                </a:ext>
              </a:extLst>
            </xdr:cNvPr>
            <xdr:cNvSpPr txBox="1"/>
          </xdr:nvSpPr>
          <xdr:spPr>
            <a:xfrm>
              <a:off x="1565897" y="6523670"/>
              <a:ext cx="1181477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СПП</m:t>
                        </m:r>
                      </m:sub>
                      <m:sup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МВ</m:t>
                        </m:r>
                      </m:sup>
                    </m:sSubSup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С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час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× 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эвм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D646F2C-6054-4953-852A-F72938937343}"/>
                </a:ext>
              </a:extLst>
            </xdr:cNvPr>
            <xdr:cNvSpPr txBox="1"/>
          </xdr:nvSpPr>
          <xdr:spPr>
            <a:xfrm>
              <a:off x="1565897" y="6523670"/>
              <a:ext cx="1181477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З_СПП^МВ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С_час  ×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_эвм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103694</xdr:colOff>
      <xdr:row>1</xdr:row>
      <xdr:rowOff>0</xdr:rowOff>
    </xdr:from>
    <xdr:ext cx="706668" cy="3465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0DA7F77-36F9-4656-B9B4-A36DB8982C1B}"/>
                </a:ext>
              </a:extLst>
            </xdr:cNvPr>
            <xdr:cNvSpPr txBox="1"/>
          </xdr:nvSpPr>
          <xdr:spPr>
            <a:xfrm>
              <a:off x="1544868" y="7102701"/>
              <a:ext cx="706668" cy="3465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С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час</m:t>
                        </m:r>
                      </m:sub>
                    </m:sSub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З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эвм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Т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эвм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0DA7F77-36F9-4656-B9B4-A36DB8982C1B}"/>
                </a:ext>
              </a:extLst>
            </xdr:cNvPr>
            <xdr:cNvSpPr txBox="1"/>
          </xdr:nvSpPr>
          <xdr:spPr>
            <a:xfrm>
              <a:off x="1544868" y="7102701"/>
              <a:ext cx="706668" cy="3465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С_час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З_эвм/Т_эвм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125507</xdr:colOff>
      <xdr:row>3</xdr:row>
      <xdr:rowOff>85035</xdr:rowOff>
    </xdr:from>
    <xdr:ext cx="2152128" cy="1844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037669B-58D3-4947-A405-0A0BA059F778}"/>
                </a:ext>
              </a:extLst>
            </xdr:cNvPr>
            <xdr:cNvSpPr txBox="1"/>
          </xdr:nvSpPr>
          <xdr:spPr>
            <a:xfrm>
              <a:off x="5896536" y="1059947"/>
              <a:ext cx="2152128" cy="1844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Т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эвм</m:t>
                        </m:r>
                      </m:sub>
                    </m:sSub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8×(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Д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к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Д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пр, вых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)−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пр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×4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037669B-58D3-4947-A405-0A0BA059F778}"/>
                </a:ext>
              </a:extLst>
            </xdr:cNvPr>
            <xdr:cNvSpPr txBox="1"/>
          </xdr:nvSpPr>
          <xdr:spPr>
            <a:xfrm>
              <a:off x="5896536" y="1059947"/>
              <a:ext cx="2152128" cy="1844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Т_эвм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8×(Д_к−Д_(пр, вых))−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_пр×4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112365</xdr:colOff>
      <xdr:row>7</xdr:row>
      <xdr:rowOff>94290</xdr:rowOff>
    </xdr:from>
    <xdr:ext cx="96738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8E2788B2-9582-4575-8A70-0293E77D6C99}"/>
                </a:ext>
              </a:extLst>
            </xdr:cNvPr>
            <xdr:cNvSpPr txBox="1"/>
          </xdr:nvSpPr>
          <xdr:spPr>
            <a:xfrm>
              <a:off x="1744039" y="8815877"/>
              <a:ext cx="96738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эвм</m:t>
                        </m:r>
                      </m:sub>
                    </m:sSub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А</m:t>
                        </m:r>
                      </m:sub>
                    </m:sSub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эл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8E2788B2-9582-4575-8A70-0293E77D6C99}"/>
                </a:ext>
              </a:extLst>
            </xdr:cNvPr>
            <xdr:cNvSpPr txBox="1"/>
          </xdr:nvSpPr>
          <xdr:spPr>
            <a:xfrm>
              <a:off x="1744039" y="8815877"/>
              <a:ext cx="96738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З_эвм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З_А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З_эл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101382</xdr:colOff>
      <xdr:row>9</xdr:row>
      <xdr:rowOff>60769</xdr:rowOff>
    </xdr:from>
    <xdr:ext cx="1660455" cy="1844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BD73EAD2-00EC-41E2-B538-09C09D645986}"/>
                </a:ext>
              </a:extLst>
            </xdr:cNvPr>
            <xdr:cNvSpPr txBox="1"/>
          </xdr:nvSpPr>
          <xdr:spPr>
            <a:xfrm>
              <a:off x="1733056" y="9428399"/>
              <a:ext cx="1660455" cy="1844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эл/эн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Р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эвм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Т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эвм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С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эвм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BD73EAD2-00EC-41E2-B538-09C09D645986}"/>
                </a:ext>
              </a:extLst>
            </xdr:cNvPr>
            <xdr:cNvSpPr txBox="1"/>
          </xdr:nvSpPr>
          <xdr:spPr>
            <a:xfrm>
              <a:off x="1733056" y="9428399"/>
              <a:ext cx="1660455" cy="1844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З_(эл/эн)=Р_эвм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×Т_эвм×С_эвм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101067</xdr:colOff>
      <xdr:row>2</xdr:row>
      <xdr:rowOff>90766</xdr:rowOff>
    </xdr:from>
    <xdr:ext cx="1267398" cy="17915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95A61F50-1DB4-492E-9F49-DD8B51B4412A}"/>
                </a:ext>
              </a:extLst>
            </xdr:cNvPr>
            <xdr:cNvSpPr txBox="1"/>
          </xdr:nvSpPr>
          <xdr:spPr>
            <a:xfrm>
              <a:off x="1542241" y="6551201"/>
              <a:ext cx="1267398" cy="1791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эвм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п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отл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д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95A61F50-1DB4-492E-9F49-DD8B51B4412A}"/>
                </a:ext>
              </a:extLst>
            </xdr:cNvPr>
            <xdr:cNvSpPr txBox="1"/>
          </xdr:nvSpPr>
          <xdr:spPr>
            <a:xfrm>
              <a:off x="1542241" y="6551201"/>
              <a:ext cx="1267398" cy="1791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_эвм= 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_п+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_отл+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_д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92498</xdr:colOff>
      <xdr:row>17</xdr:row>
      <xdr:rowOff>294592</xdr:rowOff>
    </xdr:from>
    <xdr:ext cx="2109552" cy="32246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CF56C378-8273-4D87-9D82-D3FBA6FC12C3}"/>
                </a:ext>
              </a:extLst>
            </xdr:cNvPr>
            <xdr:cNvSpPr txBox="1"/>
          </xdr:nvSpPr>
          <xdr:spPr>
            <a:xfrm>
              <a:off x="5953174" y="5819092"/>
              <a:ext cx="2109552" cy="3224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пр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ru-RU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З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зп</m:t>
                            </m:r>
                          </m:sub>
                        </m:s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З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св</m:t>
                            </m:r>
                          </m:sub>
                        </m:s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З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эл</m:t>
                            </m:r>
                          </m:sub>
                        </m:s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З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ам</m:t>
                            </m:r>
                          </m:sub>
                        </m:s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)</m:t>
                        </m:r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×10</m:t>
                        </m:r>
                      </m:num>
                      <m:den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90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CF56C378-8273-4D87-9D82-D3FBA6FC12C3}"/>
                </a:ext>
              </a:extLst>
            </xdr:cNvPr>
            <xdr:cNvSpPr txBox="1"/>
          </xdr:nvSpPr>
          <xdr:spPr>
            <a:xfrm>
              <a:off x="5953174" y="5819092"/>
              <a:ext cx="2109552" cy="3224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З_пр=((З_зп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+З_св+З_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эл+З_ам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×10)/</a:t>
              </a:r>
              <a:r>
                <a:rPr lang="ru-RU" sz="1100" b="0" i="0">
                  <a:latin typeface="Cambria Math" panose="02040503050406030204" pitchFamily="18" charset="0"/>
                </a:rPr>
                <a:t>90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84412</xdr:colOff>
      <xdr:row>19</xdr:row>
      <xdr:rowOff>96790</xdr:rowOff>
    </xdr:from>
    <xdr:ext cx="1811586" cy="1844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39BE5983-6C19-4DAD-8F89-A0D8A7874D98}"/>
                </a:ext>
              </a:extLst>
            </xdr:cNvPr>
            <xdr:cNvSpPr txBox="1"/>
          </xdr:nvSpPr>
          <xdr:spPr>
            <a:xfrm>
              <a:off x="1856890" y="12694638"/>
              <a:ext cx="1811586" cy="1844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общ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эвм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зп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св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пр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39BE5983-6C19-4DAD-8F89-A0D8A7874D98}"/>
                </a:ext>
              </a:extLst>
            </xdr:cNvPr>
            <xdr:cNvSpPr txBox="1"/>
          </xdr:nvSpPr>
          <xdr:spPr>
            <a:xfrm>
              <a:off x="1856890" y="12694638"/>
              <a:ext cx="1811586" cy="1844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З_общ=З_эвм+З_зп+З_св+З_пр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109822</xdr:colOff>
      <xdr:row>0</xdr:row>
      <xdr:rowOff>57617</xdr:rowOff>
    </xdr:from>
    <xdr:ext cx="1142620" cy="18594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D7DC637F-2A5D-4D12-9295-2393556AEA9A}"/>
                </a:ext>
              </a:extLst>
            </xdr:cNvPr>
            <xdr:cNvSpPr txBox="1"/>
          </xdr:nvSpPr>
          <xdr:spPr>
            <a:xfrm>
              <a:off x="1741496" y="6195030"/>
              <a:ext cx="1142620" cy="1859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спп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общ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спп</m:t>
                        </m:r>
                      </m:sub>
                      <m:sup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МВ</m:t>
                        </m:r>
                      </m:sup>
                    </m:sSub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D7DC637F-2A5D-4D12-9295-2393556AEA9A}"/>
                </a:ext>
              </a:extLst>
            </xdr:cNvPr>
            <xdr:cNvSpPr txBox="1"/>
          </xdr:nvSpPr>
          <xdr:spPr>
            <a:xfrm>
              <a:off x="1741496" y="6195030"/>
              <a:ext cx="1142620" cy="1859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З_спп=З_общ+З_спп^МВ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5</xdr:col>
      <xdr:colOff>8441</xdr:colOff>
      <xdr:row>22</xdr:row>
      <xdr:rowOff>239523</xdr:rowOff>
    </xdr:from>
    <xdr:to>
      <xdr:col>12</xdr:col>
      <xdr:colOff>554873</xdr:colOff>
      <xdr:row>34</xdr:row>
      <xdr:rowOff>311782</xdr:rowOff>
    </xdr:to>
    <xdr:graphicFrame macro="">
      <xdr:nvGraphicFramePr>
        <xdr:cNvPr id="42" name="Диаграмма 41">
          <a:extLst>
            <a:ext uri="{FF2B5EF4-FFF2-40B4-BE49-F238E27FC236}">
              <a16:creationId xmlns:a16="http://schemas.microsoft.com/office/drawing/2014/main" id="{60325561-C317-10F4-0B68-76E8947F4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45;&#1082;&#1080;&#1084;&#1086;&#1074;%20&#1042;&#1103;&#1095;&#1077;&#1089;&#1083;&#1072;&#1074;\&#1050;&#1086;&#1083;&#1083;&#1077;&#1076;&#1078;\3%20&#1082;&#1091;&#1088;&#1089;\&#1069;&#1082;&#1086;&#1085;&#1086;&#1084;&#1080;&#1082;&#1072;\&#1069;&#1082;&#1086;&#1085;&#1086;&#1084;&#1080;&#1082;&#1072;.xlsx" TargetMode="External"/><Relationship Id="rId1" Type="http://schemas.openxmlformats.org/officeDocument/2006/relationships/externalLinkPath" Target="file:///D:\&#1045;&#1082;&#1080;&#1084;&#1086;&#1074;%20&#1042;&#1103;&#1095;&#1077;&#1089;&#1083;&#1072;&#1074;\&#1050;&#1086;&#1083;&#1083;&#1077;&#1076;&#1078;\3%20&#1082;&#1091;&#1088;&#1089;\&#1069;&#1082;&#1086;&#1085;&#1086;&#1084;&#1080;&#1082;&#1072;\&#1069;&#1082;&#1086;&#1085;&#1086;&#1084;&#1080;&#1082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адание 1"/>
      <sheetName val="Задание 2"/>
      <sheetName val="Задание 3"/>
    </sheetNames>
    <sheetDataSet>
      <sheetData sheetId="0">
        <row r="21">
          <cell r="D21" t="str">
            <v>техзадание</v>
          </cell>
          <cell r="E21">
            <v>45.924705882352939</v>
          </cell>
        </row>
        <row r="22">
          <cell r="D22" t="str">
            <v>техпроект</v>
          </cell>
          <cell r="E22">
            <v>22.560000000000002</v>
          </cell>
        </row>
        <row r="23">
          <cell r="D23" t="str">
            <v>рабочий проект</v>
          </cell>
          <cell r="E23">
            <v>49.632000000000005</v>
          </cell>
        </row>
        <row r="24">
          <cell r="D24" t="str">
            <v>внедрение</v>
          </cell>
          <cell r="E24">
            <v>16.920000000000002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C76F-C09E-4153-BB20-3B1B98EC2564}">
  <dimension ref="A1:M43"/>
  <sheetViews>
    <sheetView tabSelected="1" zoomScale="85" zoomScaleNormal="85" workbookViewId="0">
      <selection activeCell="C20" sqref="C20"/>
    </sheetView>
  </sheetViews>
  <sheetFormatPr defaultRowHeight="25.5" customHeight="1" x14ac:dyDescent="0.25"/>
  <cols>
    <col min="1" max="1" width="15.28515625" bestFit="1" customWidth="1"/>
    <col min="2" max="2" width="13.7109375" style="12" customWidth="1"/>
    <col min="3" max="3" width="22" customWidth="1"/>
    <col min="5" max="5" width="15.28515625" bestFit="1" customWidth="1"/>
    <col min="6" max="6" width="12.42578125" bestFit="1" customWidth="1"/>
    <col min="8" max="8" width="21.140625" style="20" customWidth="1"/>
    <col min="9" max="9" width="10" bestFit="1" customWidth="1"/>
    <col min="11" max="11" width="12.42578125" bestFit="1" customWidth="1"/>
  </cols>
  <sheetData>
    <row r="1" spans="1:13" ht="25.5" customHeight="1" thickBot="1" x14ac:dyDescent="0.3">
      <c r="A1" s="15" t="s">
        <v>1</v>
      </c>
      <c r="B1" s="7">
        <v>540</v>
      </c>
      <c r="C1" s="23"/>
      <c r="D1" s="16"/>
      <c r="E1" s="1" t="s">
        <v>19</v>
      </c>
      <c r="F1" s="17">
        <f>F2*F3</f>
        <v>22.866105600000001</v>
      </c>
      <c r="J1" s="18" t="s">
        <v>0</v>
      </c>
      <c r="K1" s="19">
        <f>F1+F20</f>
        <v>66615.574105599997</v>
      </c>
      <c r="M1" s="20"/>
    </row>
    <row r="2" spans="1:13" ht="25.5" customHeight="1" x14ac:dyDescent="0.25">
      <c r="A2" s="1" t="s">
        <v>2</v>
      </c>
      <c r="B2" s="7">
        <v>1.08</v>
      </c>
      <c r="E2" s="1" t="s">
        <v>24</v>
      </c>
      <c r="F2" s="25">
        <f>F8/F4</f>
        <v>0.45239999999999997</v>
      </c>
    </row>
    <row r="3" spans="1:13" ht="25.5" customHeight="1" x14ac:dyDescent="0.25">
      <c r="A3" s="1" t="s">
        <v>10</v>
      </c>
      <c r="B3" s="6">
        <v>1.35</v>
      </c>
      <c r="E3" s="1" t="s">
        <v>25</v>
      </c>
      <c r="F3" s="7">
        <f>B11+B13+B16</f>
        <v>50.544000000000004</v>
      </c>
    </row>
    <row r="4" spans="1:13" ht="25.5" customHeight="1" x14ac:dyDescent="0.25">
      <c r="A4" s="15" t="s">
        <v>3</v>
      </c>
      <c r="B4" s="7">
        <v>0.6</v>
      </c>
      <c r="E4" s="1" t="s">
        <v>26</v>
      </c>
      <c r="F4" s="6">
        <f>8*(F5-F6)-F7*4</f>
        <v>128</v>
      </c>
    </row>
    <row r="5" spans="1:13" ht="25.5" customHeight="1" x14ac:dyDescent="0.25">
      <c r="A5" s="1" t="s">
        <v>4</v>
      </c>
      <c r="B5" s="7">
        <v>0.8</v>
      </c>
      <c r="E5" s="1" t="s">
        <v>31</v>
      </c>
      <c r="F5" s="6">
        <v>28</v>
      </c>
    </row>
    <row r="6" spans="1:13" ht="25.5" customHeight="1" x14ac:dyDescent="0.25">
      <c r="E6" s="1" t="s">
        <v>33</v>
      </c>
      <c r="F6" s="6">
        <v>10</v>
      </c>
    </row>
    <row r="7" spans="1:13" ht="25.5" customHeight="1" x14ac:dyDescent="0.25">
      <c r="A7" s="3" t="s">
        <v>5</v>
      </c>
      <c r="B7" s="7">
        <f>B1*B2*(1+B4)</f>
        <v>933.12000000000012</v>
      </c>
      <c r="C7" s="9"/>
      <c r="E7" s="1" t="s">
        <v>32</v>
      </c>
      <c r="F7" s="6">
        <v>4</v>
      </c>
    </row>
    <row r="8" spans="1:13" ht="25.5" customHeight="1" x14ac:dyDescent="0.25">
      <c r="A8" s="15" t="s">
        <v>6</v>
      </c>
      <c r="B8" s="7">
        <v>30</v>
      </c>
      <c r="C8" s="9"/>
      <c r="E8" s="1" t="s">
        <v>20</v>
      </c>
      <c r="F8" s="25">
        <f>F9+F10</f>
        <v>57.907199999999996</v>
      </c>
    </row>
    <row r="9" spans="1:13" ht="25.5" customHeight="1" x14ac:dyDescent="0.25">
      <c r="A9" s="1" t="s">
        <v>7</v>
      </c>
      <c r="B9" s="7">
        <f>(B7*B3)/(85*B5)</f>
        <v>18.525176470588239</v>
      </c>
      <c r="C9" s="9"/>
      <c r="E9" s="14" t="s">
        <v>29</v>
      </c>
      <c r="F9" s="6">
        <v>0</v>
      </c>
    </row>
    <row r="10" spans="1:13" ht="25.5" customHeight="1" x14ac:dyDescent="0.25">
      <c r="A10" s="1" t="s">
        <v>8</v>
      </c>
      <c r="B10" s="7">
        <f>B7/(75*B5)</f>
        <v>15.552000000000001</v>
      </c>
      <c r="C10" s="9"/>
      <c r="E10" s="14" t="s">
        <v>34</v>
      </c>
      <c r="F10" s="7">
        <f>F11*F4*F12</f>
        <v>57.907199999999996</v>
      </c>
    </row>
    <row r="11" spans="1:13" ht="25.5" customHeight="1" x14ac:dyDescent="0.25">
      <c r="A11" s="1" t="s">
        <v>9</v>
      </c>
      <c r="B11" s="7">
        <f>B7/(75*B5)</f>
        <v>15.552000000000001</v>
      </c>
      <c r="C11" s="9"/>
      <c r="E11" s="14" t="s">
        <v>27</v>
      </c>
      <c r="F11" s="6">
        <v>0.06</v>
      </c>
    </row>
    <row r="12" spans="1:13" ht="25.5" customHeight="1" x14ac:dyDescent="0.25">
      <c r="A12" s="2" t="s">
        <v>12</v>
      </c>
      <c r="B12" s="7">
        <f>B7/(75*B5)</f>
        <v>15.552000000000001</v>
      </c>
      <c r="C12" s="9"/>
      <c r="E12" s="14" t="s">
        <v>28</v>
      </c>
      <c r="F12" s="6">
        <v>7.54</v>
      </c>
    </row>
    <row r="13" spans="1:13" ht="25.5" customHeight="1" x14ac:dyDescent="0.25">
      <c r="A13" s="1" t="s">
        <v>11</v>
      </c>
      <c r="B13" s="7">
        <f>1.5*B12</f>
        <v>23.328000000000003</v>
      </c>
      <c r="C13" s="9"/>
      <c r="E13" s="1" t="s">
        <v>21</v>
      </c>
      <c r="F13" s="25">
        <f>F14*(1+F15+F16)</f>
        <v>46058.1</v>
      </c>
    </row>
    <row r="14" spans="1:13" ht="25.5" customHeight="1" x14ac:dyDescent="0.25">
      <c r="A14" s="2" t="s">
        <v>15</v>
      </c>
      <c r="B14" s="7">
        <f>B7/(175*B5)</f>
        <v>6.6651428571428584</v>
      </c>
      <c r="C14" s="9"/>
      <c r="E14" s="24" t="s">
        <v>30</v>
      </c>
      <c r="F14" s="25">
        <v>27093</v>
      </c>
    </row>
    <row r="15" spans="1:13" ht="25.5" customHeight="1" x14ac:dyDescent="0.25">
      <c r="A15" s="2" t="s">
        <v>16</v>
      </c>
      <c r="B15" s="7">
        <f>0.75*B14</f>
        <v>4.998857142857144</v>
      </c>
      <c r="C15" s="9"/>
      <c r="E15" s="15" t="s">
        <v>35</v>
      </c>
      <c r="F15" s="6">
        <v>0.2</v>
      </c>
    </row>
    <row r="16" spans="1:13" ht="25.5" customHeight="1" x14ac:dyDescent="0.25">
      <c r="A16" s="1" t="s">
        <v>13</v>
      </c>
      <c r="B16" s="7">
        <f>B14+B15</f>
        <v>11.664000000000001</v>
      </c>
      <c r="C16" s="9"/>
      <c r="E16" s="15" t="s">
        <v>36</v>
      </c>
      <c r="F16" s="6">
        <v>0.5</v>
      </c>
    </row>
    <row r="17" spans="1:10" ht="25.5" customHeight="1" x14ac:dyDescent="0.25">
      <c r="A17" s="3" t="s">
        <v>14</v>
      </c>
      <c r="B17" s="7">
        <f>B16+B13+B9+B10+B11+B8</f>
        <v>114.62117647058825</v>
      </c>
      <c r="C17" s="9"/>
      <c r="E17" s="1" t="s">
        <v>22</v>
      </c>
      <c r="F17" s="25">
        <f>F13*30/100</f>
        <v>13817.43</v>
      </c>
    </row>
    <row r="18" spans="1:10" ht="25.5" customHeight="1" x14ac:dyDescent="0.25">
      <c r="A18" s="8" t="s">
        <v>17</v>
      </c>
      <c r="B18" s="6">
        <f>ROUND(B17/8,0)</f>
        <v>14</v>
      </c>
      <c r="C18" s="5">
        <f>B17/8</f>
        <v>14.327647058823532</v>
      </c>
      <c r="E18" s="1" t="s">
        <v>37</v>
      </c>
      <c r="F18" s="25">
        <v>0</v>
      </c>
    </row>
    <row r="19" spans="1:10" ht="25.5" customHeight="1" x14ac:dyDescent="0.25">
      <c r="E19" s="1" t="s">
        <v>23</v>
      </c>
      <c r="F19" s="25">
        <f>((F13+F17+F10+F18)*10)/90</f>
        <v>6659.2707999999993</v>
      </c>
    </row>
    <row r="20" spans="1:10" ht="25.5" customHeight="1" x14ac:dyDescent="0.25">
      <c r="E20" s="3" t="s">
        <v>18</v>
      </c>
      <c r="F20" s="25">
        <f>F13+F17+F18+F10+F19</f>
        <v>66592.707999999999</v>
      </c>
    </row>
    <row r="21" spans="1:10" ht="25.5" customHeight="1" x14ac:dyDescent="0.25">
      <c r="A21" s="11" t="s">
        <v>34</v>
      </c>
      <c r="B21" t="s">
        <v>40</v>
      </c>
      <c r="C21">
        <v>665.92</v>
      </c>
      <c r="F21" s="12"/>
    </row>
    <row r="22" spans="1:10" ht="25.5" customHeight="1" x14ac:dyDescent="0.25">
      <c r="A22" s="11" t="s">
        <v>21</v>
      </c>
      <c r="B22" s="20" t="s">
        <v>41</v>
      </c>
      <c r="C22">
        <v>46058.1</v>
      </c>
    </row>
    <row r="23" spans="1:10" ht="25.5" customHeight="1" x14ac:dyDescent="0.25">
      <c r="A23" s="11" t="s">
        <v>22</v>
      </c>
      <c r="B23" s="20" t="s">
        <v>39</v>
      </c>
      <c r="C23">
        <v>13817.43</v>
      </c>
    </row>
    <row r="24" spans="1:10" ht="25.5" customHeight="1" x14ac:dyDescent="0.25">
      <c r="A24" s="11" t="s">
        <v>23</v>
      </c>
      <c r="B24" s="20" t="s">
        <v>38</v>
      </c>
      <c r="C24">
        <v>6659.1683999999996</v>
      </c>
    </row>
    <row r="25" spans="1:10" ht="25.5" customHeight="1" thickBot="1" x14ac:dyDescent="0.3">
      <c r="A25" s="10" t="s">
        <v>18</v>
      </c>
      <c r="B25" s="21"/>
      <c r="C25" s="22">
        <f>K1</f>
        <v>66615.574105599997</v>
      </c>
    </row>
    <row r="31" spans="1:10" ht="25.5" customHeight="1" x14ac:dyDescent="0.25">
      <c r="J31" s="22"/>
    </row>
    <row r="35" spans="3:12" ht="25.5" customHeight="1" x14ac:dyDescent="0.25">
      <c r="E35" s="13"/>
    </row>
    <row r="39" spans="3:12" ht="25.5" customHeight="1" x14ac:dyDescent="0.25">
      <c r="G39" s="4"/>
      <c r="H39" s="4"/>
      <c r="I39" s="4"/>
    </row>
    <row r="41" spans="3:12" ht="25.5" customHeight="1" x14ac:dyDescent="0.25">
      <c r="D41" s="4"/>
    </row>
    <row r="43" spans="3:12" ht="25.5" customHeight="1" x14ac:dyDescent="0.25">
      <c r="C43" s="4"/>
      <c r="E43" s="4"/>
      <c r="F43" s="4"/>
      <c r="J43" s="4"/>
      <c r="K43" s="4"/>
      <c r="L43" s="4"/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 Екимов</dc:creator>
  <cp:lastModifiedBy>Вячеслав Екимов</cp:lastModifiedBy>
  <dcterms:created xsi:type="dcterms:W3CDTF">2026-05-09T22:54:44Z</dcterms:created>
  <dcterms:modified xsi:type="dcterms:W3CDTF">2026-05-12T16:04:32Z</dcterms:modified>
</cp:coreProperties>
</file>