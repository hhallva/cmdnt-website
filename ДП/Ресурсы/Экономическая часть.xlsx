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mp\Projects\ДП\Ресурсы\"/>
    </mc:Choice>
  </mc:AlternateContent>
  <xr:revisionPtr revIDLastSave="0" documentId="13_ncr:1_{5BBE6731-92EA-41A1-AF64-907A0B178E89}" xr6:coauthVersionLast="47" xr6:coauthVersionMax="47" xr10:uidLastSave="{00000000-0000-0000-0000-000000000000}"/>
  <bookViews>
    <workbookView xWindow="28680" yWindow="-120" windowWidth="29040" windowHeight="15720" xr2:uid="{4B5BF2D2-6468-494A-A058-D8821C81D19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" i="1" l="1"/>
  <c r="R4" i="1"/>
  <c r="R2" i="1"/>
  <c r="E2" i="1"/>
  <c r="M5" i="1"/>
  <c r="I7" i="1" l="1"/>
  <c r="M7" i="1"/>
  <c r="I9" i="1"/>
  <c r="I5" i="1"/>
  <c r="I4" i="1"/>
  <c r="I3" i="1"/>
  <c r="I6" i="1" l="1"/>
  <c r="I10" i="1"/>
  <c r="M6" i="1"/>
  <c r="I8" i="1" l="1"/>
  <c r="M3" i="1"/>
  <c r="M4" i="1" l="1"/>
  <c r="M2" i="1" s="1"/>
  <c r="I11" i="1"/>
  <c r="J12" i="1" s="1"/>
  <c r="I12" i="1" s="1"/>
  <c r="R3" i="1" l="1"/>
  <c r="M10" i="1" l="1"/>
  <c r="M11" i="1" s="1"/>
  <c r="D31" i="1" s="1"/>
</calcChain>
</file>

<file path=xl/sharedStrings.xml><?xml version="1.0" encoding="utf-8"?>
<sst xmlns="http://schemas.openxmlformats.org/spreadsheetml/2006/main" count="68" uniqueCount="56">
  <si>
    <t>Зспп</t>
  </si>
  <si>
    <t>q</t>
  </si>
  <si>
    <t>c</t>
  </si>
  <si>
    <t>p</t>
  </si>
  <si>
    <t>K</t>
  </si>
  <si>
    <t>Q (шт)</t>
  </si>
  <si>
    <t>tо</t>
  </si>
  <si>
    <t>tи</t>
  </si>
  <si>
    <t>tа</t>
  </si>
  <si>
    <t>tп</t>
  </si>
  <si>
    <t xml:space="preserve">B </t>
  </si>
  <si>
    <t>tот</t>
  </si>
  <si>
    <t>tд</t>
  </si>
  <si>
    <t>t (чел/ч)</t>
  </si>
  <si>
    <t>tдр</t>
  </si>
  <si>
    <t>tдо</t>
  </si>
  <si>
    <t>Зобщ</t>
  </si>
  <si>
    <t>Змв спп</t>
  </si>
  <si>
    <t>Зэвм</t>
  </si>
  <si>
    <t>Ззп</t>
  </si>
  <si>
    <t>Зсв</t>
  </si>
  <si>
    <t>Зпр</t>
  </si>
  <si>
    <t>Счас</t>
  </si>
  <si>
    <t>tэвм</t>
  </si>
  <si>
    <t>Tэвм (маш/час)</t>
  </si>
  <si>
    <t>Рэвм</t>
  </si>
  <si>
    <t>За</t>
  </si>
  <si>
    <t>МРОТ:</t>
  </si>
  <si>
    <t>Кд</t>
  </si>
  <si>
    <t>tпр</t>
  </si>
  <si>
    <t>Кпр</t>
  </si>
  <si>
    <t>Зэл</t>
  </si>
  <si>
    <t>PK</t>
  </si>
  <si>
    <t>CK</t>
  </si>
  <si>
    <t>Зам</t>
  </si>
  <si>
    <t>издержки на прочие и накладные расходы</t>
  </si>
  <si>
    <t>издержки на страховые взносы с оплаты труда</t>
  </si>
  <si>
    <t>издержки на электроенергию</t>
  </si>
  <si>
    <t>издержки на заработную плату</t>
  </si>
  <si>
    <t>Сэл</t>
  </si>
  <si>
    <t>затраты труда на разработку алгоритма решения задачи</t>
  </si>
  <si>
    <t>затраты труда на изучение описания задачи</t>
  </si>
  <si>
    <t>затраты труда на отладку</t>
  </si>
  <si>
    <t>затраты труда на подготовку документации</t>
  </si>
  <si>
    <t>затраты времени на составление программы по готовой диаграмме</t>
  </si>
  <si>
    <t>затраты труда на разработку блок-схемы алгоритма решения задачи</t>
  </si>
  <si>
    <t>Ззп Ф</t>
  </si>
  <si>
    <t>Переменные</t>
  </si>
  <si>
    <t>KдФ</t>
  </si>
  <si>
    <t>КдС</t>
  </si>
  <si>
    <t>Трудозатраты</t>
  </si>
  <si>
    <t>Затраты на электоэнергию</t>
  </si>
  <si>
    <t>Для Q</t>
  </si>
  <si>
    <t>Затраты на ЗП и далее</t>
  </si>
  <si>
    <t>tотл</t>
  </si>
  <si>
    <t>tAотл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</si>
</sst>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₽&quot;"/>
  </numFmts>
  <fonts count="3" x14ac:knownFonts="1">
    <font>
      <sz val="11"/>
      <color theme="1"/>
      <name val="Aptos Narrow"/>
      <family val="2"/>
      <charset val="204"/>
      <scheme val="minor"/>
    </font>
    <font>
      <sz val="11"/>
      <color rgb="FF000000"/>
      <name val="Aptos Narrow"/>
      <family val="2"/>
      <scheme val="minor"/>
    </font>
    <font>
      <sz val="14"/>
      <color theme="1"/>
      <name val="Aptos Narrow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0" fontId="0" fillId="3" borderId="1" xfId="0" applyFill="1" applyBorder="1"/>
    <xf numFmtId="0" fontId="0" fillId="0" borderId="1" xfId="0" applyBorder="1"/>
    <xf numFmtId="0" fontId="0" fillId="2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left" vertical="center"/>
    </xf>
    <xf numFmtId="164" fontId="0" fillId="6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2" fontId="0" fillId="0" borderId="0" xfId="0" applyNumberFormat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64" fontId="0" fillId="6" borderId="9" xfId="0" applyNumberFormat="1" applyFill="1" applyBorder="1" applyAlignment="1">
      <alignment horizontal="center" vertical="center"/>
    </xf>
    <xf numFmtId="0" fontId="0" fillId="2" borderId="0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0" xfId="0" applyFill="1" applyBorder="1" applyAlignment="1">
      <alignment horizontal="center" textRotation="90"/>
    </xf>
    <xf numFmtId="0" fontId="0" fillId="2" borderId="10" xfId="0" applyFill="1" applyBorder="1" applyAlignment="1">
      <alignment horizontal="center" vertical="center" textRotation="90"/>
    </xf>
    <xf numFmtId="164" fontId="0" fillId="6" borderId="5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8954387887003336"/>
          <c:y val="0.16219525530985918"/>
          <c:w val="0.48072165146539186"/>
          <c:h val="0.67898855719923701"/>
        </c:manualLayout>
      </c:layout>
      <c:pieChart>
        <c:varyColors val="1"/>
        <c:ser>
          <c:idx val="0"/>
          <c:order val="0"/>
          <c:spPr>
            <a:ln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chemeClr val="bg2">
                  <a:lumMod val="75000"/>
                </a:schemeClr>
              </a:solidFill>
              <a:ln w="9525" cap="flat" cmpd="sng" algn="ctr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7BA-4897-BED5-41D66758F98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E7BA-4897-BED5-41D66758F98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6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6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E7BA-4897-BED5-41D66758F980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9525" cap="flat" cmpd="sng" algn="ctr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7BA-4897-BED5-41D66758F980}"/>
              </c:ext>
            </c:extLst>
          </c:dPt>
          <c:dLbls>
            <c:dLbl>
              <c:idx val="0"/>
              <c:layout>
                <c:manualLayout>
                  <c:x val="0.2613627791379432"/>
                  <c:y val="2.37677280878799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layout>
                    <c:manualLayout>
                      <c:w val="0.30343468813979591"/>
                      <c:h val="0.106499072237246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E7BA-4897-BED5-41D66758F980}"/>
                </c:ext>
              </c:extLst>
            </c:dLbl>
            <c:dLbl>
              <c:idx val="1"/>
              <c:layout>
                <c:manualLayout>
                  <c:x val="4.6630307030689599E-2"/>
                  <c:y val="-4.4004402235568431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936293741854443"/>
                      <c:h val="0.1085354958491126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E7BA-4897-BED5-41D66758F980}"/>
                </c:ext>
              </c:extLst>
            </c:dLbl>
            <c:dLbl>
              <c:idx val="2"/>
              <c:layout>
                <c:manualLayout>
                  <c:x val="-2.4282977915214794E-2"/>
                  <c:y val="0.31889626861258846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5099245304622803"/>
                      <c:h val="0.1415248930200511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E7BA-4897-BED5-41D66758F980}"/>
                </c:ext>
              </c:extLst>
            </c:dLbl>
            <c:dLbl>
              <c:idx val="3"/>
              <c:layout>
                <c:manualLayout>
                  <c:x val="-0.11646832263287243"/>
                  <c:y val="9.5871681003508718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8560505285561777"/>
                      <c:h val="0.1161939595060617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E7BA-4897-BED5-41D66758F98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Лист1!$C$26:$C$29</c:f>
              <c:strCache>
                <c:ptCount val="4"/>
                <c:pt idx="0">
                  <c:v>издержки на электроенергию</c:v>
                </c:pt>
                <c:pt idx="1">
                  <c:v>издержки на заработную плату</c:v>
                </c:pt>
                <c:pt idx="2">
                  <c:v>издержки на страховые взносы с оплаты труда</c:v>
                </c:pt>
                <c:pt idx="3">
                  <c:v>издержки на прочие и накладные расходы</c:v>
                </c:pt>
              </c:strCache>
            </c:strRef>
          </c:cat>
          <c:val>
            <c:numRef>
              <c:f>Лист1!$D$27:$D$30</c:f>
              <c:numCache>
                <c:formatCode>General</c:formatCode>
                <c:ptCount val="4"/>
                <c:pt idx="0">
                  <c:v>665.92</c:v>
                </c:pt>
                <c:pt idx="1">
                  <c:v>46058.1</c:v>
                </c:pt>
                <c:pt idx="2">
                  <c:v>13817.43</c:v>
                </c:pt>
                <c:pt idx="3">
                  <c:v>6659.1683999999996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BA-4897-BED5-41D66758F980}"/>
            </c:ext>
          </c:extLst>
        </c:ser>
        <c:dLbls>
          <c:dLblPos val="bestFit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8954387887003336"/>
          <c:y val="0.16219525530985918"/>
          <c:w val="0.48072165146539186"/>
          <c:h val="0.67898855719923701"/>
        </c:manualLayout>
      </c:layout>
      <c:pieChart>
        <c:varyColors val="1"/>
        <c:ser>
          <c:idx val="0"/>
          <c:order val="0"/>
          <c:spPr>
            <a:ln w="12700">
              <a:solidFill>
                <a:schemeClr val="tx1"/>
              </a:solidFill>
            </a:ln>
          </c:spPr>
          <c:dPt>
            <c:idx val="0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D8ED-413A-8BAB-17EF08D35434}"/>
              </c:ext>
            </c:extLst>
          </c:dPt>
          <c:dPt>
            <c:idx val="1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D8ED-413A-8BAB-17EF08D35434}"/>
              </c:ext>
            </c:extLst>
          </c:dPt>
          <c:dPt>
            <c:idx val="2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D8ED-413A-8BAB-17EF08D35434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D8ED-413A-8BAB-17EF08D35434}"/>
              </c:ext>
            </c:extLst>
          </c:dPt>
          <c:dPt>
            <c:idx val="4"/>
            <c:bubble3D val="0"/>
            <c:spPr>
              <a:solidFill>
                <a:srgbClr val="0070C0"/>
              </a:solidFill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D8ED-413A-8BAB-17EF08D35434}"/>
              </c:ext>
            </c:extLst>
          </c:dPt>
          <c:dPt>
            <c:idx val="5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D8ED-413A-8BAB-17EF08D35434}"/>
              </c:ext>
            </c:extLst>
          </c:dPt>
          <c:dLbls>
            <c:dLbl>
              <c:idx val="0"/>
              <c:layout>
                <c:manualLayout>
                  <c:x val="0.13906307689412692"/>
                  <c:y val="-0.19620009522555298"/>
                </c:manualLayout>
              </c:layout>
              <c:spPr>
                <a:xfrm>
                  <a:off x="4520712" y="389563"/>
                  <a:ext cx="1252025" cy="600421"/>
                </a:xfrm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chemeClr val="tx1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98845"/>
                        <a:gd name="adj2" fmla="val 107241"/>
                      </a:avLst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014033309562726"/>
                      <c:h val="0.15206229169410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D8ED-413A-8BAB-17EF08D35434}"/>
                </c:ext>
              </c:extLst>
            </c:dLbl>
            <c:dLbl>
              <c:idx val="1"/>
              <c:layout>
                <c:manualLayout>
                  <c:x val="-9.2708609782891541E-2"/>
                  <c:y val="-0.1318721951516011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chemeClr val="tx1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123013"/>
                        <a:gd name="adj2" fmla="val 14679"/>
                      </a:avLst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8ED-413A-8BAB-17EF08D35434}"/>
                </c:ext>
              </c:extLst>
            </c:dLbl>
            <c:dLbl>
              <c:idx val="2"/>
              <c:layout>
                <c:manualLayout>
                  <c:x val="-3.7083443913156627E-2"/>
                  <c:y val="-2.573116002958070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chemeClr val="tx1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141640"/>
                        <a:gd name="adj2" fmla="val -92856"/>
                      </a:avLst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D8ED-413A-8BAB-17EF08D35434}"/>
                </c:ext>
              </c:extLst>
            </c:dLbl>
            <c:dLbl>
              <c:idx val="3"/>
              <c:layout>
                <c:manualLayout>
                  <c:x val="-0.10919014041096113"/>
                  <c:y val="6.5019298370022184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chemeClr val="tx1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148602"/>
                        <a:gd name="adj2" fmla="val -115864"/>
                      </a:avLst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D8ED-413A-8BAB-17EF08D35434}"/>
                </c:ext>
              </c:extLst>
            </c:dLbl>
            <c:dLbl>
              <c:idx val="4"/>
              <c:layout>
                <c:manualLayout>
                  <c:x val="0.10300956642543517"/>
                  <c:y val="-9.6491850110927788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chemeClr val="tx1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169276"/>
                        <a:gd name="adj2" fmla="val 76189"/>
                      </a:avLst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A-D8ED-413A-8BAB-17EF08D35434}"/>
                </c:ext>
              </c:extLst>
            </c:dLbl>
            <c:dLbl>
              <c:idx val="5"/>
              <c:layout>
                <c:manualLayout>
                  <c:x val="5.5625165869734761E-2"/>
                  <c:y val="-8.362627009613735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chemeClr val="tx1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ru-RU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99866"/>
                        <a:gd name="adj2" fmla="val 64441"/>
                      </a:avLst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8ED-413A-8BAB-17EF08D354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12700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Лист1!$C$32:$C$37</c:f>
              <c:strCache>
                <c:ptCount val="6"/>
                <c:pt idx="0">
                  <c:v>затраты труда на изучение описания задачи</c:v>
                </c:pt>
                <c:pt idx="1">
                  <c:v>затраты труда на разработку алгоритма решения задачи</c:v>
                </c:pt>
                <c:pt idx="2">
                  <c:v>затраты труда на разработку блок-схемы алгоритма решения задачи</c:v>
                </c:pt>
                <c:pt idx="3">
                  <c:v>затраты времени на составление программы по готовой диаграмме</c:v>
                </c:pt>
                <c:pt idx="4">
                  <c:v>затраты труда на отладку</c:v>
                </c:pt>
                <c:pt idx="5">
                  <c:v>затраты труда на подготовку документации</c:v>
                </c:pt>
              </c:strCache>
            </c:strRef>
          </c:cat>
          <c:val>
            <c:numRef>
              <c:f>Лист1!$D$33:$D$38</c:f>
              <c:numCache>
                <c:formatCode>0.00</c:formatCode>
                <c:ptCount val="6"/>
                <c:pt idx="0">
                  <c:v>30</c:v>
                </c:pt>
                <c:pt idx="1">
                  <c:v>18.525176470588239</c:v>
                </c:pt>
                <c:pt idx="2">
                  <c:v>15.552000000000001</c:v>
                </c:pt>
                <c:pt idx="3">
                  <c:v>15.552000000000001</c:v>
                </c:pt>
                <c:pt idx="4">
                  <c:v>23.328000000000003</c:v>
                </c:pt>
                <c:pt idx="5">
                  <c:v>11.664000000000001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8ED-413A-8BAB-17EF08D354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01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n>
            <a:noFill/>
          </a:ln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87580</xdr:colOff>
      <xdr:row>1</xdr:row>
      <xdr:rowOff>73851</xdr:rowOff>
    </xdr:from>
    <xdr:ext cx="563424" cy="125227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8ACFC73C-B7E5-4E66-A9FC-F2B63C73D32D}"/>
            </a:ext>
          </a:extLst>
        </xdr:cNvPr>
        <xdr:cNvSpPr txBox="1"/>
      </xdr:nvSpPr>
      <xdr:spPr>
        <a:xfrm>
          <a:off x="1393866" y="1837337"/>
          <a:ext cx="563424" cy="125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sz="800" i="1"/>
            <a:t>Q=</a:t>
          </a:r>
          <a:r>
            <a:rPr lang="en-US" sz="800" i="1" baseline="0"/>
            <a:t> q*c*(1+p)</a:t>
          </a:r>
          <a:endParaRPr lang="ru-RU" sz="800" i="1"/>
        </a:p>
      </xdr:txBody>
    </xdr:sp>
    <xdr:clientData/>
  </xdr:oneCellAnchor>
  <xdr:oneCellAnchor>
    <xdr:from>
      <xdr:col>9</xdr:col>
      <xdr:colOff>84715</xdr:colOff>
      <xdr:row>2</xdr:row>
      <xdr:rowOff>33340</xdr:rowOff>
    </xdr:from>
    <xdr:ext cx="722890" cy="24865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9F9E2A6-F8F0-4CD5-A4D3-AF9869DF4AE4}"/>
                </a:ext>
              </a:extLst>
            </xdr:cNvPr>
            <xdr:cNvSpPr txBox="1"/>
          </xdr:nvSpPr>
          <xdr:spPr>
            <a:xfrm>
              <a:off x="1391001" y="2384654"/>
              <a:ext cx="722890" cy="2486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и</m:t>
                        </m:r>
                      </m:sub>
                    </m:sSub>
                    <m:r>
                      <a:rPr lang="en-US" sz="8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f>
                      <m:fPr>
                        <m:ctrlPr>
                          <a:rPr lang="ru-RU" sz="8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sz="8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ru-RU" sz="800" i="1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ru-RU" sz="800" i="1">
                            <a:latin typeface="Cambria Math" panose="02040503050406030204" pitchFamily="18" charset="0"/>
                          </a:rPr>
                          <m:t>𝐵</m:t>
                        </m:r>
                      </m:num>
                      <m:den>
                        <m:d>
                          <m:dPr>
                            <m:ctrlPr>
                              <a:rPr lang="ru-RU" sz="8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ru-RU" sz="800" i="1">
                                <a:latin typeface="Cambria Math" panose="02040503050406030204" pitchFamily="18" charset="0"/>
                              </a:rPr>
                              <m:t>75~8</m:t>
                            </m:r>
                            <m:r>
                              <a:rPr lang="ru-RU" sz="8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e>
                        </m:d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𝐾</m:t>
                        </m:r>
                      </m:den>
                    </m:f>
                  </m:oMath>
                </m:oMathPara>
              </a14:m>
              <a:endParaRPr lang="ru-RU" sz="800" i="1">
                <a:latin typeface="+mn-lt"/>
              </a:endParaRPr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9F9E2A6-F8F0-4CD5-A4D3-AF9869DF4AE4}"/>
                </a:ext>
              </a:extLst>
            </xdr:cNvPr>
            <xdr:cNvSpPr txBox="1"/>
          </xdr:nvSpPr>
          <xdr:spPr>
            <a:xfrm>
              <a:off x="1391001" y="2384654"/>
              <a:ext cx="722890" cy="2486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_и</a:t>
              </a:r>
              <a:r>
                <a:rPr lang="en-US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 </a:t>
              </a:r>
              <a:r>
                <a:rPr lang="ru-RU" sz="800" i="0">
                  <a:latin typeface="Cambria Math" panose="02040503050406030204" pitchFamily="18" charset="0"/>
                </a:rPr>
                <a:t> (𝑄⋅𝐵)/(75~8</a:t>
              </a:r>
              <a:r>
                <a:rPr lang="ru-RU" sz="800" b="0" i="0">
                  <a:latin typeface="Cambria Math" panose="02040503050406030204" pitchFamily="18" charset="0"/>
                </a:rPr>
                <a:t>5)</a:t>
              </a:r>
              <a:r>
                <a:rPr lang="en-US" sz="800" b="0" i="0">
                  <a:latin typeface="Cambria Math" panose="02040503050406030204" pitchFamily="18" charset="0"/>
                </a:rPr>
                <a:t>𝐾</a:t>
              </a:r>
              <a:endParaRPr lang="ru-RU" sz="800" i="1">
                <a:latin typeface="+mn-lt"/>
              </a:endParaRPr>
            </a:p>
          </xdr:txBody>
        </xdr:sp>
      </mc:Fallback>
    </mc:AlternateContent>
    <xdr:clientData/>
  </xdr:oneCellAnchor>
  <xdr:oneCellAnchor>
    <xdr:from>
      <xdr:col>9</xdr:col>
      <xdr:colOff>94742</xdr:colOff>
      <xdr:row>3</xdr:row>
      <xdr:rowOff>17883</xdr:rowOff>
    </xdr:from>
    <xdr:ext cx="715259" cy="24865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D58315E6-08C2-4406-AE3D-8E933477C8EF}"/>
                </a:ext>
              </a:extLst>
            </xdr:cNvPr>
            <xdr:cNvSpPr txBox="1"/>
          </xdr:nvSpPr>
          <xdr:spPr>
            <a:xfrm>
              <a:off x="1401028" y="2663112"/>
              <a:ext cx="715259" cy="2486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а</m:t>
                        </m:r>
                      </m:sub>
                    </m:sSub>
                    <m:r>
                      <a:rPr lang="en-US" sz="8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num>
                      <m:den>
                        <m:d>
                          <m:dPr>
                            <m:ctrlPr>
                              <a:rPr lang="en-US" sz="8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8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50~75</m:t>
                            </m:r>
                          </m:e>
                        </m:d>
                        <m:r>
                          <a:rPr lang="en-US" sz="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𝐾</m:t>
                        </m:r>
                      </m:den>
                    </m:f>
                  </m:oMath>
                </m:oMathPara>
              </a14:m>
              <a:endParaRPr lang="ru-RU" sz="800">
                <a:latin typeface="+mn-lt"/>
              </a:endParaRPr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D58315E6-08C2-4406-AE3D-8E933477C8EF}"/>
                </a:ext>
              </a:extLst>
            </xdr:cNvPr>
            <xdr:cNvSpPr txBox="1"/>
          </xdr:nvSpPr>
          <xdr:spPr>
            <a:xfrm>
              <a:off x="1401028" y="2663112"/>
              <a:ext cx="715259" cy="2486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_а</a:t>
              </a:r>
              <a:r>
                <a:rPr lang="en-US" sz="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  𝑄/(50~75)𝐾</a:t>
              </a:r>
              <a:endParaRPr lang="ru-RU" sz="800">
                <a:latin typeface="+mn-lt"/>
              </a:endParaRPr>
            </a:p>
          </xdr:txBody>
        </xdr:sp>
      </mc:Fallback>
    </mc:AlternateContent>
    <xdr:clientData/>
  </xdr:oneCellAnchor>
  <xdr:oneCellAnchor>
    <xdr:from>
      <xdr:col>9</xdr:col>
      <xdr:colOff>99756</xdr:colOff>
      <xdr:row>4</xdr:row>
      <xdr:rowOff>33419</xdr:rowOff>
    </xdr:from>
    <xdr:ext cx="721159" cy="24865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F63278B9-E630-44A9-BCCB-66346D23C25F}"/>
                </a:ext>
              </a:extLst>
            </xdr:cNvPr>
            <xdr:cNvSpPr txBox="1"/>
          </xdr:nvSpPr>
          <xdr:spPr>
            <a:xfrm>
              <a:off x="1406042" y="2972562"/>
              <a:ext cx="721159" cy="2486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п</m:t>
                        </m:r>
                      </m:sub>
                    </m:sSub>
                    <m:r>
                      <a:rPr lang="en-US" sz="8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num>
                      <m:den>
                        <m:d>
                          <m:dPr>
                            <m:ctrlPr>
                              <a:rPr lang="en-US" sz="8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8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50~75</m:t>
                            </m:r>
                          </m:e>
                        </m:d>
                        <m:r>
                          <a:rPr lang="en-US" sz="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𝐾</m:t>
                        </m:r>
                      </m:den>
                    </m:f>
                  </m:oMath>
                </m:oMathPara>
              </a14:m>
              <a:endParaRPr lang="ru-RU" sz="800">
                <a:latin typeface="+mn-lt"/>
              </a:endParaRPr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F63278B9-E630-44A9-BCCB-66346D23C25F}"/>
                </a:ext>
              </a:extLst>
            </xdr:cNvPr>
            <xdr:cNvSpPr txBox="1"/>
          </xdr:nvSpPr>
          <xdr:spPr>
            <a:xfrm>
              <a:off x="1406042" y="2972562"/>
              <a:ext cx="721159" cy="2486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_п</a:t>
              </a:r>
              <a:r>
                <a:rPr lang="en-US" sz="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  𝑄/(50~75)𝐾</a:t>
              </a:r>
              <a:endParaRPr lang="ru-RU" sz="800">
                <a:latin typeface="+mn-lt"/>
              </a:endParaRPr>
            </a:p>
          </xdr:txBody>
        </xdr:sp>
      </mc:Fallback>
    </mc:AlternateContent>
    <xdr:clientData/>
  </xdr:oneCellAnchor>
  <xdr:oneCellAnchor>
    <xdr:from>
      <xdr:col>9</xdr:col>
      <xdr:colOff>101371</xdr:colOff>
      <xdr:row>5</xdr:row>
      <xdr:rowOff>95861</xdr:rowOff>
    </xdr:from>
    <xdr:ext cx="671401" cy="13202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7A9894B-F4B2-4865-90D4-F109AD57F3D4}"/>
                </a:ext>
              </a:extLst>
            </xdr:cNvPr>
            <xdr:cNvSpPr txBox="1"/>
          </xdr:nvSpPr>
          <xdr:spPr>
            <a:xfrm>
              <a:off x="1407657" y="3328918"/>
              <a:ext cx="671401" cy="1320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от</m:t>
                        </m:r>
                      </m:sub>
                    </m:sSub>
                    <m:r>
                      <a:rPr lang="ru-RU" sz="800" b="0" i="1">
                        <a:latin typeface="Cambria Math" panose="02040503050406030204" pitchFamily="18" charset="0"/>
                      </a:rPr>
                      <m:t>=1.5 </m:t>
                    </m:r>
                    <m:r>
                      <a:rPr lang="ru-RU" sz="8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sSubSup>
                      <m:sSubSupPr>
                        <m:ctrlPr>
                          <a:rPr lang="ru-RU" sz="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от</m:t>
                        </m:r>
                      </m:sub>
                      <m:sup>
                        <m:r>
                          <a:rPr lang="en-US" sz="8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𝐴</m:t>
                        </m:r>
                      </m:sup>
                    </m:sSubSup>
                  </m:oMath>
                </m:oMathPara>
              </a14:m>
              <a:endParaRPr lang="ru-RU" sz="800">
                <a:latin typeface="+mn-lt"/>
              </a:endParaRPr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67A9894B-F4B2-4865-90D4-F109AD57F3D4}"/>
                </a:ext>
              </a:extLst>
            </xdr:cNvPr>
            <xdr:cNvSpPr txBox="1"/>
          </xdr:nvSpPr>
          <xdr:spPr>
            <a:xfrm>
              <a:off x="1407657" y="3328918"/>
              <a:ext cx="671401" cy="1320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_от</a:t>
              </a:r>
              <a:r>
                <a:rPr lang="ru-RU" sz="800" b="0" i="0">
                  <a:latin typeface="Cambria Math" panose="02040503050406030204" pitchFamily="18" charset="0"/>
                </a:rPr>
                <a:t>=1.5 </a:t>
              </a:r>
              <a:r>
                <a:rPr lang="ru-RU" sz="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en-US" sz="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_от^</a:t>
              </a:r>
              <a:r>
                <a:rPr lang="en-US" sz="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</a:t>
              </a:r>
              <a:endParaRPr lang="ru-RU" sz="800">
                <a:latin typeface="+mn-lt"/>
              </a:endParaRPr>
            </a:p>
          </xdr:txBody>
        </xdr:sp>
      </mc:Fallback>
    </mc:AlternateContent>
    <xdr:clientData/>
  </xdr:oneCellAnchor>
  <xdr:oneCellAnchor>
    <xdr:from>
      <xdr:col>9</xdr:col>
      <xdr:colOff>93200</xdr:colOff>
      <xdr:row>6</xdr:row>
      <xdr:rowOff>33738</xdr:rowOff>
    </xdr:from>
    <xdr:ext cx="734175" cy="24865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75979671-0F19-4F0C-B0DA-7CD631E7E44C}"/>
                </a:ext>
              </a:extLst>
            </xdr:cNvPr>
            <xdr:cNvSpPr txBox="1"/>
          </xdr:nvSpPr>
          <xdr:spPr>
            <a:xfrm>
              <a:off x="2031818" y="3608414"/>
              <a:ext cx="734175" cy="2486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SupPr>
                      <m:e>
                        <m:r>
                          <a:rPr lang="en-US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от</m:t>
                        </m:r>
                      </m:sub>
                      <m:sup>
                        <m:r>
                          <a:rPr lang="en-US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</m:t>
                        </m:r>
                      </m:sup>
                    </m:sSubSup>
                    <m:r>
                      <a:rPr lang="ru-RU" sz="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sz="8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ru-RU" sz="8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𝑄</m:t>
                        </m:r>
                      </m:num>
                      <m:den>
                        <m:d>
                          <m:dPr>
                            <m:ctrlPr>
                              <a:rPr lang="ru-RU" sz="8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8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50</m:t>
                            </m:r>
                            <m:r>
                              <a:rPr lang="ru-RU" sz="8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~</m:t>
                            </m:r>
                            <m:r>
                              <a:rPr lang="en-US" sz="8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75</m:t>
                            </m:r>
                          </m:e>
                        </m:d>
                        <m:r>
                          <a:rPr lang="en-US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den>
                    </m:f>
                  </m:oMath>
                </m:oMathPara>
              </a14:m>
              <a:endParaRPr lang="ru-RU" sz="800" i="1">
                <a:latin typeface="+mn-lt"/>
              </a:endParaRPr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75979671-0F19-4F0C-B0DA-7CD631E7E44C}"/>
                </a:ext>
              </a:extLst>
            </xdr:cNvPr>
            <xdr:cNvSpPr txBox="1"/>
          </xdr:nvSpPr>
          <xdr:spPr>
            <a:xfrm>
              <a:off x="2031818" y="3608414"/>
              <a:ext cx="734175" cy="2486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_от^</a:t>
              </a:r>
              <a:r>
                <a:rPr lang="en-US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𝐴</a:t>
              </a:r>
              <a:r>
                <a:rPr lang="ru-RU" sz="800" b="0" i="0">
                  <a:latin typeface="Cambria Math" panose="02040503050406030204" pitchFamily="18" charset="0"/>
                </a:rPr>
                <a:t>=</a:t>
              </a:r>
              <a:r>
                <a:rPr lang="ru-RU" sz="8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𝑄/(</a:t>
              </a:r>
              <a:r>
                <a:rPr lang="en-US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50</a:t>
              </a:r>
              <a:r>
                <a:rPr lang="ru-RU" sz="8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~</a:t>
              </a:r>
              <a:r>
                <a:rPr lang="en-US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75)𝐾</a:t>
              </a:r>
              <a:endParaRPr lang="ru-RU" sz="800" i="1">
                <a:latin typeface="+mn-lt"/>
              </a:endParaRPr>
            </a:p>
          </xdr:txBody>
        </xdr:sp>
      </mc:Fallback>
    </mc:AlternateContent>
    <xdr:clientData/>
  </xdr:oneCellAnchor>
  <xdr:oneCellAnchor>
    <xdr:from>
      <xdr:col>9</xdr:col>
      <xdr:colOff>102191</xdr:colOff>
      <xdr:row>7</xdr:row>
      <xdr:rowOff>88003</xdr:rowOff>
    </xdr:from>
    <xdr:ext cx="634083" cy="13426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5B7C3197-FFD0-4A32-A79E-5CD2CD6A8181}"/>
                </a:ext>
              </a:extLst>
            </xdr:cNvPr>
            <xdr:cNvSpPr txBox="1"/>
          </xdr:nvSpPr>
          <xdr:spPr>
            <a:xfrm>
              <a:off x="1408477" y="3614974"/>
              <a:ext cx="634083" cy="1342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д</m:t>
                        </m:r>
                      </m:sub>
                    </m:sSub>
                    <m:r>
                      <a:rPr lang="ru-RU" sz="8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ru-RU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800" b="0" i="1">
                            <a:latin typeface="Cambria Math" panose="02040503050406030204" pitchFamily="18" charset="0"/>
                          </a:rPr>
                          <m:t>др</m:t>
                        </m:r>
                      </m:sub>
                    </m:sSub>
                    <m:r>
                      <a:rPr lang="ru-RU" sz="800" b="0" i="1">
                        <a:latin typeface="Cambria Math" panose="02040503050406030204" pitchFamily="18" charset="0"/>
                      </a:rPr>
                      <m:t>+ </m:t>
                    </m:r>
                    <m:sSub>
                      <m:sSubPr>
                        <m:ctrlPr>
                          <a:rPr lang="ru-RU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800" b="0" i="1">
                            <a:latin typeface="Cambria Math" panose="02040503050406030204" pitchFamily="18" charset="0"/>
                          </a:rPr>
                          <m:t>до</m:t>
                        </m:r>
                      </m:sub>
                    </m:sSub>
                  </m:oMath>
                </m:oMathPara>
              </a14:m>
              <a:endParaRPr lang="ru-RU" sz="800">
                <a:latin typeface="+mn-lt"/>
              </a:endParaRPr>
            </a:p>
          </xdr:txBody>
        </xdr:sp>
      </mc:Choice>
      <mc:Fallback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5B7C3197-FFD0-4A32-A79E-5CD2CD6A8181}"/>
                </a:ext>
              </a:extLst>
            </xdr:cNvPr>
            <xdr:cNvSpPr txBox="1"/>
          </xdr:nvSpPr>
          <xdr:spPr>
            <a:xfrm>
              <a:off x="1408477" y="3614974"/>
              <a:ext cx="634083" cy="1342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_д</a:t>
              </a:r>
              <a:r>
                <a:rPr lang="ru-RU" sz="800" b="0" i="0">
                  <a:latin typeface="Cambria Math" panose="02040503050406030204" pitchFamily="18" charset="0"/>
                </a:rPr>
                <a:t>=</a:t>
              </a:r>
              <a:r>
                <a:rPr lang="en-US" sz="800" b="0" i="0">
                  <a:latin typeface="Cambria Math" panose="02040503050406030204" pitchFamily="18" charset="0"/>
                </a:rPr>
                <a:t>𝑡</a:t>
              </a:r>
              <a:r>
                <a:rPr lang="ru-RU" sz="800" b="0" i="0">
                  <a:latin typeface="Cambria Math" panose="02040503050406030204" pitchFamily="18" charset="0"/>
                </a:rPr>
                <a:t>_др+ </a:t>
              </a:r>
              <a:r>
                <a:rPr lang="en-US" sz="800" b="0" i="0">
                  <a:latin typeface="Cambria Math" panose="02040503050406030204" pitchFamily="18" charset="0"/>
                </a:rPr>
                <a:t>𝑡</a:t>
              </a:r>
              <a:r>
                <a:rPr lang="ru-RU" sz="800" b="0" i="0">
                  <a:latin typeface="Cambria Math" panose="02040503050406030204" pitchFamily="18" charset="0"/>
                </a:rPr>
                <a:t>_до</a:t>
              </a:r>
              <a:endParaRPr lang="ru-RU" sz="800">
                <a:latin typeface="+mn-lt"/>
              </a:endParaRPr>
            </a:p>
          </xdr:txBody>
        </xdr:sp>
      </mc:Fallback>
    </mc:AlternateContent>
    <xdr:clientData/>
  </xdr:oneCellAnchor>
  <xdr:oneCellAnchor>
    <xdr:from>
      <xdr:col>9</xdr:col>
      <xdr:colOff>82519</xdr:colOff>
      <xdr:row>8</xdr:row>
      <xdr:rowOff>14111</xdr:rowOff>
    </xdr:from>
    <xdr:ext cx="853247" cy="24865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3AF64BC3-5B21-443B-93D8-0D8FA0F04148}"/>
                </a:ext>
              </a:extLst>
            </xdr:cNvPr>
            <xdr:cNvSpPr txBox="1"/>
          </xdr:nvSpPr>
          <xdr:spPr>
            <a:xfrm>
              <a:off x="2021137" y="4238729"/>
              <a:ext cx="853247" cy="2486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др</m:t>
                        </m:r>
                      </m:sub>
                    </m:sSub>
                    <m:r>
                      <a:rPr lang="ru-RU" sz="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sz="8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𝑄</m:t>
                        </m:r>
                      </m:num>
                      <m:den>
                        <m:d>
                          <m:dPr>
                            <m:ctrlPr>
                              <a:rPr lang="en-US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800" b="0" i="1">
                                <a:latin typeface="Cambria Math" panose="02040503050406030204" pitchFamily="18" charset="0"/>
                              </a:rPr>
                              <m:t>150~200</m:t>
                            </m:r>
                          </m:e>
                        </m:d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𝐾</m:t>
                        </m:r>
                      </m:den>
                    </m:f>
                  </m:oMath>
                </m:oMathPara>
              </a14:m>
              <a:endParaRPr lang="ru-RU" sz="800">
                <a:latin typeface="+mn-lt"/>
              </a:endParaRPr>
            </a:p>
          </xdr:txBody>
        </xdr:sp>
      </mc:Choice>
      <mc:Fallback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3AF64BC3-5B21-443B-93D8-0D8FA0F04148}"/>
                </a:ext>
              </a:extLst>
            </xdr:cNvPr>
            <xdr:cNvSpPr txBox="1"/>
          </xdr:nvSpPr>
          <xdr:spPr>
            <a:xfrm>
              <a:off x="2021137" y="4238729"/>
              <a:ext cx="853247" cy="2486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_др</a:t>
              </a:r>
              <a:r>
                <a:rPr lang="ru-RU" sz="800" b="0" i="0">
                  <a:latin typeface="Cambria Math" panose="02040503050406030204" pitchFamily="18" charset="0"/>
                </a:rPr>
                <a:t>=</a:t>
              </a:r>
              <a:r>
                <a:rPr lang="en-US" sz="800" b="0" i="0">
                  <a:latin typeface="Cambria Math" panose="02040503050406030204" pitchFamily="18" charset="0"/>
                </a:rPr>
                <a:t>𝑄</a:t>
              </a:r>
              <a:r>
                <a:rPr lang="ru-RU" sz="800" b="0" i="0">
                  <a:latin typeface="Cambria Math" panose="02040503050406030204" pitchFamily="18" charset="0"/>
                </a:rPr>
                <a:t>/</a:t>
              </a:r>
              <a:r>
                <a:rPr lang="en-US" sz="800" b="0" i="0">
                  <a:latin typeface="Cambria Math" panose="02040503050406030204" pitchFamily="18" charset="0"/>
                </a:rPr>
                <a:t>(150~200)𝐾</a:t>
              </a:r>
              <a:endParaRPr lang="ru-RU" sz="800">
                <a:latin typeface="+mn-lt"/>
              </a:endParaRPr>
            </a:p>
          </xdr:txBody>
        </xdr:sp>
      </mc:Fallback>
    </mc:AlternateContent>
    <xdr:clientData/>
  </xdr:oneCellAnchor>
  <xdr:oneCellAnchor>
    <xdr:from>
      <xdr:col>9</xdr:col>
      <xdr:colOff>90065</xdr:colOff>
      <xdr:row>9</xdr:row>
      <xdr:rowOff>81754</xdr:rowOff>
    </xdr:from>
    <xdr:ext cx="737189" cy="13426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72C00C64-A631-4C60-963A-6369A4EC92A8}"/>
                </a:ext>
              </a:extLst>
            </xdr:cNvPr>
            <xdr:cNvSpPr txBox="1"/>
          </xdr:nvSpPr>
          <xdr:spPr>
            <a:xfrm>
              <a:off x="2028683" y="4631342"/>
              <a:ext cx="737189" cy="1342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до</m:t>
                        </m:r>
                      </m:sub>
                    </m:sSub>
                    <m:r>
                      <a:rPr lang="ru-RU" sz="8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0.75 </m:t>
                    </m:r>
                    <m:r>
                      <a:rPr lang="en-US" sz="8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8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др</m:t>
                        </m:r>
                      </m:sub>
                    </m:sSub>
                  </m:oMath>
                </m:oMathPara>
              </a14:m>
              <a:endParaRPr lang="ru-RU" sz="800">
                <a:latin typeface="+mn-lt"/>
              </a:endParaRPr>
            </a:p>
          </xdr:txBody>
        </xdr:sp>
      </mc:Choice>
      <mc:Fallback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72C00C64-A631-4C60-963A-6369A4EC92A8}"/>
                </a:ext>
              </a:extLst>
            </xdr:cNvPr>
            <xdr:cNvSpPr txBox="1"/>
          </xdr:nvSpPr>
          <xdr:spPr>
            <a:xfrm>
              <a:off x="2028683" y="4631342"/>
              <a:ext cx="737189" cy="1342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_до</a:t>
              </a:r>
              <a:r>
                <a:rPr lang="ru-RU" sz="800" b="0" i="0">
                  <a:latin typeface="Cambria Math" panose="02040503050406030204" pitchFamily="18" charset="0"/>
                </a:rPr>
                <a:t>=</a:t>
              </a:r>
              <a:r>
                <a:rPr lang="en-US" sz="800" b="0" i="0">
                  <a:latin typeface="Cambria Math" panose="02040503050406030204" pitchFamily="18" charset="0"/>
                </a:rPr>
                <a:t>0.75 </a:t>
              </a:r>
              <a:r>
                <a:rPr lang="en-US" sz="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en-US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8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_др</a:t>
              </a:r>
              <a:endParaRPr lang="ru-RU" sz="800">
                <a:latin typeface="+mn-lt"/>
              </a:endParaRPr>
            </a:p>
          </xdr:txBody>
        </xdr:sp>
      </mc:Fallback>
    </mc:AlternateContent>
    <xdr:clientData/>
  </xdr:oneCellAnchor>
  <xdr:oneCellAnchor>
    <xdr:from>
      <xdr:col>18</xdr:col>
      <xdr:colOff>145329</xdr:colOff>
      <xdr:row>1</xdr:row>
      <xdr:rowOff>33010</xdr:rowOff>
    </xdr:from>
    <xdr:ext cx="1844479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EF2545AA-8BDC-48FE-AC89-8BBF67D4AE81}"/>
                </a:ext>
              </a:extLst>
            </xdr:cNvPr>
            <xdr:cNvSpPr txBox="1"/>
          </xdr:nvSpPr>
          <xdr:spPr>
            <a:xfrm>
              <a:off x="1917807" y="10369706"/>
              <a:ext cx="18444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зп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=оклад ×(1+РК+СК)</m:t>
                    </m:r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EF2545AA-8BDC-48FE-AC89-8BBF67D4AE81}"/>
                </a:ext>
              </a:extLst>
            </xdr:cNvPr>
            <xdr:cNvSpPr txBox="1"/>
          </xdr:nvSpPr>
          <xdr:spPr>
            <a:xfrm>
              <a:off x="1917807" y="10369706"/>
              <a:ext cx="184447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З_зп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=оклад ×(1+РК+СК)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18</xdr:col>
      <xdr:colOff>141984</xdr:colOff>
      <xdr:row>3</xdr:row>
      <xdr:rowOff>50175</xdr:rowOff>
    </xdr:from>
    <xdr:ext cx="1056058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22EDF65C-711C-43BA-B11B-15BEEDCEB0B3}"/>
                </a:ext>
              </a:extLst>
            </xdr:cNvPr>
            <xdr:cNvSpPr txBox="1"/>
          </xdr:nvSpPr>
          <xdr:spPr>
            <a:xfrm>
              <a:off x="1914462" y="11678958"/>
              <a:ext cx="10560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зп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×30%</m:t>
                    </m:r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22EDF65C-711C-43BA-B11B-15BEEDCEB0B3}"/>
                </a:ext>
              </a:extLst>
            </xdr:cNvPr>
            <xdr:cNvSpPr txBox="1"/>
          </xdr:nvSpPr>
          <xdr:spPr>
            <a:xfrm>
              <a:off x="1914462" y="11678958"/>
              <a:ext cx="10560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З_св=З_зп  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×30%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13</xdr:col>
      <xdr:colOff>124723</xdr:colOff>
      <xdr:row>1</xdr:row>
      <xdr:rowOff>63235</xdr:rowOff>
    </xdr:from>
    <xdr:ext cx="1181477" cy="18550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FD646F2C-6054-4953-852A-F72938937343}"/>
                </a:ext>
              </a:extLst>
            </xdr:cNvPr>
            <xdr:cNvSpPr txBox="1"/>
          </xdr:nvSpPr>
          <xdr:spPr>
            <a:xfrm>
              <a:off x="1565897" y="6523670"/>
              <a:ext cx="1181477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СПП</m:t>
                        </m:r>
                      </m:sub>
                      <m:sup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МВ</m:t>
                        </m:r>
                      </m:sup>
                    </m:sSubSup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С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час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× 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эвм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FD646F2C-6054-4953-852A-F72938937343}"/>
                </a:ext>
              </a:extLst>
            </xdr:cNvPr>
            <xdr:cNvSpPr txBox="1"/>
          </xdr:nvSpPr>
          <xdr:spPr>
            <a:xfrm>
              <a:off x="1565897" y="6523670"/>
              <a:ext cx="1181477" cy="185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З_СПП^МВ</a:t>
              </a:r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С_час  ×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_эвм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13</xdr:col>
      <xdr:colOff>103694</xdr:colOff>
      <xdr:row>2</xdr:row>
      <xdr:rowOff>0</xdr:rowOff>
    </xdr:from>
    <xdr:ext cx="706668" cy="34650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00DA7F77-36F9-4656-B9B4-A36DB8982C1B}"/>
                </a:ext>
              </a:extLst>
            </xdr:cNvPr>
            <xdr:cNvSpPr txBox="1"/>
          </xdr:nvSpPr>
          <xdr:spPr>
            <a:xfrm>
              <a:off x="1544868" y="7102701"/>
              <a:ext cx="70666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час</m:t>
                        </m:r>
                      </m:sub>
                    </m:sSub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ru-RU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З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эвм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ru-RU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Т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эвм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00DA7F77-36F9-4656-B9B4-A36DB8982C1B}"/>
                </a:ext>
              </a:extLst>
            </xdr:cNvPr>
            <xdr:cNvSpPr txBox="1"/>
          </xdr:nvSpPr>
          <xdr:spPr>
            <a:xfrm>
              <a:off x="1544868" y="7102701"/>
              <a:ext cx="70666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С_час</a:t>
              </a:r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З_эвм/Т_эвм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13</xdr:col>
      <xdr:colOff>125507</xdr:colOff>
      <xdr:row>4</xdr:row>
      <xdr:rowOff>85035</xdr:rowOff>
    </xdr:from>
    <xdr:ext cx="2152128" cy="18440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37669B-58D3-4947-A405-0A0BA059F778}"/>
                </a:ext>
              </a:extLst>
            </xdr:cNvPr>
            <xdr:cNvSpPr txBox="1"/>
          </xdr:nvSpPr>
          <xdr:spPr>
            <a:xfrm>
              <a:off x="5896536" y="1059947"/>
              <a:ext cx="2152128" cy="1844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Т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эвм</m:t>
                        </m:r>
                      </m:sub>
                    </m:sSub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8×(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Д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к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Д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пр, вых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)−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пр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×4</m:t>
                    </m:r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37669B-58D3-4947-A405-0A0BA059F778}"/>
                </a:ext>
              </a:extLst>
            </xdr:cNvPr>
            <xdr:cNvSpPr txBox="1"/>
          </xdr:nvSpPr>
          <xdr:spPr>
            <a:xfrm>
              <a:off x="5896536" y="1059947"/>
              <a:ext cx="2152128" cy="1844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Т_эвм</a:t>
              </a:r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8×(Д_к−Д_(пр, вых))−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_пр×4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13</xdr:col>
      <xdr:colOff>112365</xdr:colOff>
      <xdr:row>5</xdr:row>
      <xdr:rowOff>94290</xdr:rowOff>
    </xdr:from>
    <xdr:ext cx="967381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E2788B2-9582-4575-8A70-0293E77D6C99}"/>
                </a:ext>
              </a:extLst>
            </xdr:cNvPr>
            <xdr:cNvSpPr txBox="1"/>
          </xdr:nvSpPr>
          <xdr:spPr>
            <a:xfrm>
              <a:off x="1744039" y="8815877"/>
              <a:ext cx="96738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эвм</m:t>
                        </m:r>
                      </m:sub>
                    </m:sSub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А</m:t>
                        </m:r>
                      </m:sub>
                    </m:sSub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эл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E2788B2-9582-4575-8A70-0293E77D6C99}"/>
                </a:ext>
              </a:extLst>
            </xdr:cNvPr>
            <xdr:cNvSpPr txBox="1"/>
          </xdr:nvSpPr>
          <xdr:spPr>
            <a:xfrm>
              <a:off x="1744039" y="8815877"/>
              <a:ext cx="96738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З_эвм</a:t>
              </a:r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З_А</a:t>
              </a:r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+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З_эл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13</xdr:col>
      <xdr:colOff>101382</xdr:colOff>
      <xdr:row>6</xdr:row>
      <xdr:rowOff>60769</xdr:rowOff>
    </xdr:from>
    <xdr:ext cx="1660455" cy="18440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BD73EAD2-00EC-41E2-B538-09C09D645986}"/>
                </a:ext>
              </a:extLst>
            </xdr:cNvPr>
            <xdr:cNvSpPr txBox="1"/>
          </xdr:nvSpPr>
          <xdr:spPr>
            <a:xfrm>
              <a:off x="1733056" y="9428399"/>
              <a:ext cx="1660455" cy="1844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эл/эн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эвм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Т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эвм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С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эвм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BD73EAD2-00EC-41E2-B538-09C09D645986}"/>
                </a:ext>
              </a:extLst>
            </xdr:cNvPr>
            <xdr:cNvSpPr txBox="1"/>
          </xdr:nvSpPr>
          <xdr:spPr>
            <a:xfrm>
              <a:off x="1733056" y="9428399"/>
              <a:ext cx="1660455" cy="1844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З_(эл/эн)=Р_эвм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×Т_эвм×С_эвм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13</xdr:col>
      <xdr:colOff>101067</xdr:colOff>
      <xdr:row>3</xdr:row>
      <xdr:rowOff>90766</xdr:rowOff>
    </xdr:from>
    <xdr:ext cx="1267398" cy="17915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95A61F50-1DB4-492E-9F49-DD8B51B4412A}"/>
                </a:ext>
              </a:extLst>
            </xdr:cNvPr>
            <xdr:cNvSpPr txBox="1"/>
          </xdr:nvSpPr>
          <xdr:spPr>
            <a:xfrm>
              <a:off x="1542241" y="6551201"/>
              <a:ext cx="1267398" cy="1791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эвм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п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отл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95A61F50-1DB4-492E-9F49-DD8B51B4412A}"/>
                </a:ext>
              </a:extLst>
            </xdr:cNvPr>
            <xdr:cNvSpPr txBox="1"/>
          </xdr:nvSpPr>
          <xdr:spPr>
            <a:xfrm>
              <a:off x="1542241" y="6551201"/>
              <a:ext cx="1267398" cy="1791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_эвм= 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_п+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_отл+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_д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18</xdr:col>
      <xdr:colOff>92498</xdr:colOff>
      <xdr:row>4</xdr:row>
      <xdr:rowOff>294592</xdr:rowOff>
    </xdr:from>
    <xdr:ext cx="2109552" cy="32246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CF56C378-8273-4D87-9D82-D3FBA6FC12C3}"/>
                </a:ext>
              </a:extLst>
            </xdr:cNvPr>
            <xdr:cNvSpPr txBox="1"/>
          </xdr:nvSpPr>
          <xdr:spPr>
            <a:xfrm>
              <a:off x="5953174" y="5819092"/>
              <a:ext cx="2109552" cy="32246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пр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ru-RU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З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зп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З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св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З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эл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b>
                          <m:sSubPr>
                            <m:ctrlP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З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ам</m:t>
                            </m:r>
                          </m:sub>
                        </m:s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)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×10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90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CF56C378-8273-4D87-9D82-D3FBA6FC12C3}"/>
                </a:ext>
              </a:extLst>
            </xdr:cNvPr>
            <xdr:cNvSpPr txBox="1"/>
          </xdr:nvSpPr>
          <xdr:spPr>
            <a:xfrm>
              <a:off x="5953174" y="5819092"/>
              <a:ext cx="2109552" cy="32246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З_пр=((З_зп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+З_св+З_эл+З_ам</a:t>
              </a:r>
              <a:r>
                <a:rPr lang="ru-RU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×10)/</a:t>
              </a:r>
              <a:r>
                <a:rPr lang="ru-RU" sz="1100" b="0" i="0">
                  <a:latin typeface="Cambria Math" panose="02040503050406030204" pitchFamily="18" charset="0"/>
                </a:rPr>
                <a:t>90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13</xdr:col>
      <xdr:colOff>84412</xdr:colOff>
      <xdr:row>9</xdr:row>
      <xdr:rowOff>96790</xdr:rowOff>
    </xdr:from>
    <xdr:ext cx="1811586" cy="18440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39BE5983-6C19-4DAD-8F89-A0D8A7874D98}"/>
                </a:ext>
              </a:extLst>
            </xdr:cNvPr>
            <xdr:cNvSpPr txBox="1"/>
          </xdr:nvSpPr>
          <xdr:spPr>
            <a:xfrm>
              <a:off x="1856890" y="12694638"/>
              <a:ext cx="1811586" cy="1844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общ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эвм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зп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пр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39BE5983-6C19-4DAD-8F89-A0D8A7874D98}"/>
                </a:ext>
              </a:extLst>
            </xdr:cNvPr>
            <xdr:cNvSpPr txBox="1"/>
          </xdr:nvSpPr>
          <xdr:spPr>
            <a:xfrm>
              <a:off x="1856890" y="12694638"/>
              <a:ext cx="1811586" cy="1844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З_общ=З_эвм+З_зп+З_св+З_пр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13</xdr:col>
      <xdr:colOff>109822</xdr:colOff>
      <xdr:row>10</xdr:row>
      <xdr:rowOff>57617</xdr:rowOff>
    </xdr:from>
    <xdr:ext cx="1142620" cy="18594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D7DC637F-2A5D-4D12-9295-2393556AEA9A}"/>
                </a:ext>
              </a:extLst>
            </xdr:cNvPr>
            <xdr:cNvSpPr txBox="1"/>
          </xdr:nvSpPr>
          <xdr:spPr>
            <a:xfrm>
              <a:off x="1741496" y="6195030"/>
              <a:ext cx="1142620" cy="1859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спп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общ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sSubSup>
                      <m:sSubSup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З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спп</m:t>
                        </m:r>
                      </m:sub>
                      <m:sup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МВ</m:t>
                        </m:r>
                      </m:sup>
                    </m:sSubSup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D7DC637F-2A5D-4D12-9295-2393556AEA9A}"/>
                </a:ext>
              </a:extLst>
            </xdr:cNvPr>
            <xdr:cNvSpPr txBox="1"/>
          </xdr:nvSpPr>
          <xdr:spPr>
            <a:xfrm>
              <a:off x="1741496" y="6195030"/>
              <a:ext cx="1142620" cy="1859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З_спп=З_общ+З_спп^МВ</a:t>
              </a:r>
              <a:endParaRPr lang="ru-RU" sz="1100"/>
            </a:p>
          </xdr:txBody>
        </xdr:sp>
      </mc:Fallback>
    </mc:AlternateContent>
    <xdr:clientData/>
  </xdr:oneCellAnchor>
  <xdr:twoCellAnchor>
    <xdr:from>
      <xdr:col>23</xdr:col>
      <xdr:colOff>523912</xdr:colOff>
      <xdr:row>16</xdr:row>
      <xdr:rowOff>172288</xdr:rowOff>
    </xdr:from>
    <xdr:to>
      <xdr:col>33</xdr:col>
      <xdr:colOff>285932</xdr:colOff>
      <xdr:row>28</xdr:row>
      <xdr:rowOff>244547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60325561-C317-10F4-0B68-76E8947F47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491596</xdr:colOff>
      <xdr:row>29</xdr:row>
      <xdr:rowOff>68697</xdr:rowOff>
    </xdr:from>
    <xdr:to>
      <xdr:col>33</xdr:col>
      <xdr:colOff>297465</xdr:colOff>
      <xdr:row>41</xdr:row>
      <xdr:rowOff>142904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B07D8FB-1530-4547-90E4-65F0463E08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C76F-C09E-4153-BB20-3B1B98EC2564}">
  <dimension ref="A1:AA41"/>
  <sheetViews>
    <sheetView tabSelected="1" zoomScale="115" zoomScaleNormal="115" workbookViewId="0">
      <selection activeCell="M11" sqref="M11"/>
    </sheetView>
  </sheetViews>
  <sheetFormatPr defaultRowHeight="25.5" customHeight="1" x14ac:dyDescent="0.25"/>
  <cols>
    <col min="1" max="1" width="3.7109375" bestFit="1" customWidth="1"/>
    <col min="2" max="2" width="5.7109375" customWidth="1"/>
    <col min="3" max="3" width="18.140625" style="9" customWidth="1"/>
    <col min="4" max="5" width="9" customWidth="1"/>
    <col min="6" max="6" width="10.28515625" customWidth="1"/>
    <col min="7" max="8" width="9" customWidth="1"/>
    <col min="9" max="9" width="11.28515625" bestFit="1" customWidth="1"/>
    <col min="10" max="10" width="13.28515625" customWidth="1"/>
    <col min="11" max="11" width="10.140625" customWidth="1"/>
    <col min="12" max="12" width="15.28515625" bestFit="1" customWidth="1"/>
    <col min="13" max="13" width="11.28515625" bestFit="1" customWidth="1"/>
    <col min="15" max="15" width="15.28515625" bestFit="1" customWidth="1"/>
    <col min="16" max="16" width="12.42578125" bestFit="1" customWidth="1"/>
    <col min="17" max="21" width="12.42578125" customWidth="1"/>
    <col min="23" max="23" width="21.140625" customWidth="1"/>
    <col min="24" max="24" width="10" bestFit="1" customWidth="1"/>
    <col min="25" max="25" width="11.28515625" bestFit="1" customWidth="1"/>
    <col min="26" max="26" width="12.42578125" bestFit="1" customWidth="1"/>
  </cols>
  <sheetData>
    <row r="1" spans="1:19" ht="25.5" customHeight="1" x14ac:dyDescent="0.25">
      <c r="A1" s="34" t="s">
        <v>47</v>
      </c>
      <c r="B1" s="34"/>
      <c r="C1" s="35"/>
      <c r="E1" s="28" t="s">
        <v>5</v>
      </c>
      <c r="F1" s="29"/>
      <c r="H1" s="24" t="s">
        <v>50</v>
      </c>
      <c r="I1" s="24"/>
      <c r="J1" s="24"/>
      <c r="L1" s="24" t="s">
        <v>51</v>
      </c>
      <c r="M1" s="24"/>
      <c r="N1" s="24"/>
      <c r="Q1" s="24" t="s">
        <v>53</v>
      </c>
      <c r="R1" s="24"/>
      <c r="S1" s="24"/>
    </row>
    <row r="2" spans="1:19" ht="25.5" customHeight="1" x14ac:dyDescent="0.25">
      <c r="A2" s="37" t="s">
        <v>52</v>
      </c>
      <c r="B2" s="18" t="s">
        <v>1</v>
      </c>
      <c r="C2" s="19">
        <v>540</v>
      </c>
      <c r="D2" s="15"/>
      <c r="E2" s="19">
        <f>ROUND(C2*C3*(1+C5),2)</f>
        <v>933.12</v>
      </c>
      <c r="F2" s="6"/>
      <c r="G2" s="25"/>
      <c r="H2" s="30" t="s">
        <v>6</v>
      </c>
      <c r="I2" s="31">
        <v>30</v>
      </c>
      <c r="J2" s="25"/>
      <c r="L2" s="32" t="s">
        <v>17</v>
      </c>
      <c r="M2" s="33">
        <f>ROUND(M3*M4,2)</f>
        <v>22.75</v>
      </c>
      <c r="Q2" s="1" t="s">
        <v>19</v>
      </c>
      <c r="R2" s="23">
        <f>ROUND(C12*(1+C13+C14),2)</f>
        <v>46058.1</v>
      </c>
    </row>
    <row r="3" spans="1:19" ht="25.5" customHeight="1" x14ac:dyDescent="0.25">
      <c r="A3" s="37"/>
      <c r="B3" s="18" t="s">
        <v>2</v>
      </c>
      <c r="C3" s="19">
        <v>1.08</v>
      </c>
      <c r="H3" s="1" t="s">
        <v>7</v>
      </c>
      <c r="I3" s="19">
        <f>ROUND((E2*C4)/(85*C6),2)</f>
        <v>18.53</v>
      </c>
      <c r="J3" s="6"/>
      <c r="L3" s="1" t="s">
        <v>22</v>
      </c>
      <c r="M3" s="23">
        <f>ROUND(M6/M5,2)</f>
        <v>0.45</v>
      </c>
      <c r="Q3" s="1" t="s">
        <v>46</v>
      </c>
      <c r="R3" s="23">
        <f>ROUND(R2/C15*I12,2)</f>
        <v>32898.639999999999</v>
      </c>
    </row>
    <row r="4" spans="1:19" ht="25.5" customHeight="1" x14ac:dyDescent="0.25">
      <c r="A4" s="37"/>
      <c r="B4" s="18" t="s">
        <v>10</v>
      </c>
      <c r="C4" s="20">
        <v>1.35</v>
      </c>
      <c r="H4" s="1" t="s">
        <v>8</v>
      </c>
      <c r="I4" s="19">
        <f>ROUND(E2/(75*C6),2)</f>
        <v>15.55</v>
      </c>
      <c r="J4" s="6"/>
      <c r="L4" s="1" t="s">
        <v>23</v>
      </c>
      <c r="M4" s="19">
        <f>ROUND(I5+I6+I8,2)</f>
        <v>50.55</v>
      </c>
      <c r="Q4" s="1" t="s">
        <v>20</v>
      </c>
      <c r="R4" s="23">
        <f>ROUND(R3*30/100,2)</f>
        <v>9869.59</v>
      </c>
    </row>
    <row r="5" spans="1:19" ht="25.5" customHeight="1" x14ac:dyDescent="0.25">
      <c r="A5" s="37"/>
      <c r="B5" s="18" t="s">
        <v>3</v>
      </c>
      <c r="C5" s="19">
        <v>0.6</v>
      </c>
      <c r="H5" s="1" t="s">
        <v>9</v>
      </c>
      <c r="I5" s="19">
        <f>ROUND(E2/(75*C6),2)</f>
        <v>15.55</v>
      </c>
      <c r="J5" s="6"/>
      <c r="L5" s="1" t="s">
        <v>24</v>
      </c>
      <c r="M5" s="20">
        <f>8*(C8-C9)-C10*4</f>
        <v>128</v>
      </c>
      <c r="Q5" s="1" t="s">
        <v>34</v>
      </c>
      <c r="R5" s="23">
        <v>0</v>
      </c>
    </row>
    <row r="6" spans="1:19" ht="25.5" customHeight="1" x14ac:dyDescent="0.25">
      <c r="A6" s="37"/>
      <c r="B6" s="18" t="s">
        <v>4</v>
      </c>
      <c r="C6" s="19">
        <v>0.8</v>
      </c>
      <c r="H6" s="1" t="s">
        <v>54</v>
      </c>
      <c r="I6" s="19">
        <f>ROUND(1.5*I7,2)</f>
        <v>23.33</v>
      </c>
      <c r="J6" s="6"/>
      <c r="L6" s="1" t="s">
        <v>18</v>
      </c>
      <c r="M6" s="23">
        <f>ROUND(M8+M7,2)</f>
        <v>57.91</v>
      </c>
      <c r="Q6" s="1" t="s">
        <v>21</v>
      </c>
      <c r="R6" s="23">
        <f>ROUND(((R3+R4+M7+R5)*10)/90,2)</f>
        <v>4758.46</v>
      </c>
    </row>
    <row r="7" spans="1:19" ht="25.5" customHeight="1" x14ac:dyDescent="0.25">
      <c r="H7" s="2" t="s">
        <v>55</v>
      </c>
      <c r="I7" s="19">
        <f>ROUND(E2/(75*C6),2)</f>
        <v>15.55</v>
      </c>
      <c r="J7" s="6"/>
      <c r="L7" s="10" t="s">
        <v>31</v>
      </c>
      <c r="M7" s="19">
        <f>ROUND(C16*M5*C17,2)</f>
        <v>57.91</v>
      </c>
    </row>
    <row r="8" spans="1:19" ht="22.5" customHeight="1" x14ac:dyDescent="0.25">
      <c r="A8" s="36" t="s">
        <v>51</v>
      </c>
      <c r="B8" s="18" t="s">
        <v>28</v>
      </c>
      <c r="C8" s="20">
        <v>28</v>
      </c>
      <c r="G8" s="25"/>
      <c r="H8" s="1" t="s">
        <v>12</v>
      </c>
      <c r="I8" s="19">
        <f>ROUND(I9+I10,2)</f>
        <v>11.67</v>
      </c>
      <c r="J8" s="6"/>
      <c r="L8" s="10" t="s">
        <v>26</v>
      </c>
      <c r="M8" s="20">
        <v>0</v>
      </c>
    </row>
    <row r="9" spans="1:19" ht="25.5" customHeight="1" x14ac:dyDescent="0.25">
      <c r="A9" s="36"/>
      <c r="B9" s="18" t="s">
        <v>30</v>
      </c>
      <c r="C9" s="20">
        <v>10</v>
      </c>
      <c r="G9" s="25"/>
      <c r="H9" s="2" t="s">
        <v>14</v>
      </c>
      <c r="I9" s="19">
        <f>ROUND(E2/(175*C6),2)</f>
        <v>6.67</v>
      </c>
      <c r="J9" s="6"/>
    </row>
    <row r="10" spans="1:19" ht="25.5" customHeight="1" thickBot="1" x14ac:dyDescent="0.3">
      <c r="A10" s="36"/>
      <c r="B10" s="18" t="s">
        <v>29</v>
      </c>
      <c r="C10" s="20">
        <v>4</v>
      </c>
      <c r="H10" s="2" t="s">
        <v>15</v>
      </c>
      <c r="I10" s="19">
        <f>ROUND(0.75*I9,2)</f>
        <v>5</v>
      </c>
      <c r="J10" s="6"/>
      <c r="L10" s="3" t="s">
        <v>16</v>
      </c>
      <c r="M10" s="23">
        <f>ROUND(R3+R4+R5+M7+R6,2)</f>
        <v>47584.6</v>
      </c>
    </row>
    <row r="11" spans="1:19" ht="25.5" customHeight="1" thickBot="1" x14ac:dyDescent="0.3">
      <c r="H11" s="3" t="s">
        <v>13</v>
      </c>
      <c r="I11" s="19">
        <f>ROUND(I8+I6+I3+I4+I5+I2,2)</f>
        <v>114.63</v>
      </c>
      <c r="L11" s="12" t="s">
        <v>0</v>
      </c>
      <c r="M11" s="38">
        <f>ROUND(M2+M10,2)</f>
        <v>47607.35</v>
      </c>
    </row>
    <row r="12" spans="1:19" ht="25.5" customHeight="1" x14ac:dyDescent="0.25">
      <c r="A12" s="36" t="s">
        <v>53</v>
      </c>
      <c r="B12" s="16" t="s">
        <v>27</v>
      </c>
      <c r="C12" s="23">
        <v>27093</v>
      </c>
      <c r="H12" s="5" t="s">
        <v>48</v>
      </c>
      <c r="I12" s="21">
        <f>ROUNDUP(J12,0)</f>
        <v>15</v>
      </c>
      <c r="J12" s="22">
        <f>I11/8</f>
        <v>14.328749999999999</v>
      </c>
      <c r="K12" s="25"/>
    </row>
    <row r="13" spans="1:19" ht="25.5" customHeight="1" x14ac:dyDescent="0.25">
      <c r="A13" s="36"/>
      <c r="B13" s="11" t="s">
        <v>32</v>
      </c>
      <c r="C13" s="20">
        <v>0.2</v>
      </c>
      <c r="K13" s="25"/>
    </row>
    <row r="14" spans="1:19" ht="25.5" customHeight="1" x14ac:dyDescent="0.25">
      <c r="A14" s="36"/>
      <c r="B14" s="11" t="s">
        <v>33</v>
      </c>
      <c r="C14" s="20">
        <v>0.5</v>
      </c>
      <c r="K14" s="25"/>
    </row>
    <row r="15" spans="1:19" ht="25.5" customHeight="1" x14ac:dyDescent="0.25">
      <c r="A15" s="36"/>
      <c r="B15" s="6" t="s">
        <v>49</v>
      </c>
      <c r="C15" s="20">
        <v>21</v>
      </c>
    </row>
    <row r="16" spans="1:19" ht="25.5" customHeight="1" x14ac:dyDescent="0.25">
      <c r="A16" s="36"/>
      <c r="B16" s="10" t="s">
        <v>25</v>
      </c>
      <c r="C16" s="20">
        <v>0.06</v>
      </c>
    </row>
    <row r="17" spans="1:25" ht="25.5" customHeight="1" x14ac:dyDescent="0.25">
      <c r="A17" s="36"/>
      <c r="B17" s="10" t="s">
        <v>39</v>
      </c>
      <c r="C17" s="20">
        <v>7.54</v>
      </c>
      <c r="H17" s="25"/>
      <c r="I17" s="25"/>
      <c r="J17" s="25"/>
      <c r="K17" s="25"/>
    </row>
    <row r="18" spans="1:25" ht="25.5" customHeight="1" x14ac:dyDescent="0.25">
      <c r="H18" s="26"/>
      <c r="I18" s="26"/>
      <c r="J18" s="26"/>
      <c r="K18" s="26"/>
    </row>
    <row r="26" spans="1:25" ht="25.5" customHeight="1" x14ac:dyDescent="0.25">
      <c r="C26" t="s">
        <v>37</v>
      </c>
    </row>
    <row r="27" spans="1:25" ht="25.5" customHeight="1" x14ac:dyDescent="0.25">
      <c r="B27" s="8" t="s">
        <v>31</v>
      </c>
      <c r="C27" t="s">
        <v>38</v>
      </c>
      <c r="D27">
        <v>665.92</v>
      </c>
    </row>
    <row r="28" spans="1:25" ht="25.5" customHeight="1" x14ac:dyDescent="0.25">
      <c r="B28" s="8" t="s">
        <v>19</v>
      </c>
      <c r="C28" t="s">
        <v>36</v>
      </c>
      <c r="D28">
        <v>46058.1</v>
      </c>
      <c r="L28" s="14"/>
      <c r="M28" s="14"/>
    </row>
    <row r="29" spans="1:25" ht="25.5" customHeight="1" x14ac:dyDescent="0.25">
      <c r="B29" s="8" t="s">
        <v>20</v>
      </c>
      <c r="C29" t="s">
        <v>35</v>
      </c>
      <c r="D29">
        <v>13817.43</v>
      </c>
    </row>
    <row r="30" spans="1:25" ht="25.5" customHeight="1" thickBot="1" x14ac:dyDescent="0.3">
      <c r="B30" s="8" t="s">
        <v>21</v>
      </c>
      <c r="C30" s="13"/>
      <c r="D30">
        <v>6659.1683999999996</v>
      </c>
      <c r="E30" s="14"/>
      <c r="F30" s="14"/>
      <c r="G30" s="14"/>
      <c r="H30" s="14"/>
      <c r="I30" s="14"/>
      <c r="J30" s="14"/>
      <c r="K30" s="14"/>
      <c r="L30" s="27"/>
      <c r="M30" s="27"/>
    </row>
    <row r="31" spans="1:25" ht="25.5" customHeight="1" thickBot="1" x14ac:dyDescent="0.3">
      <c r="B31" s="7" t="s">
        <v>16</v>
      </c>
      <c r="D31" s="14">
        <f>M11</f>
        <v>47607.35</v>
      </c>
      <c r="L31" s="27"/>
      <c r="M31" s="27"/>
    </row>
    <row r="32" spans="1:25" ht="25.5" customHeight="1" x14ac:dyDescent="0.25">
      <c r="C32" t="s">
        <v>41</v>
      </c>
      <c r="E32" s="27"/>
      <c r="F32" s="27"/>
      <c r="G32" s="27"/>
      <c r="H32" s="27"/>
      <c r="I32" s="27"/>
      <c r="J32" s="27"/>
      <c r="K32" s="27"/>
      <c r="L32" s="27"/>
      <c r="M32" s="27"/>
      <c r="Y32" s="14"/>
    </row>
    <row r="33" spans="2:27" ht="25.5" customHeight="1" x14ac:dyDescent="0.25">
      <c r="B33" s="11" t="s">
        <v>6</v>
      </c>
      <c r="C33" t="s">
        <v>40</v>
      </c>
      <c r="D33" s="17">
        <v>30</v>
      </c>
      <c r="E33" s="27"/>
      <c r="F33" s="27"/>
      <c r="G33" s="27"/>
      <c r="H33" s="27"/>
      <c r="I33" s="27"/>
      <c r="J33" s="27"/>
      <c r="K33" s="27"/>
      <c r="L33" s="27"/>
      <c r="M33" s="27"/>
    </row>
    <row r="34" spans="2:27" ht="25.5" customHeight="1" x14ac:dyDescent="0.25">
      <c r="B34" s="1" t="s">
        <v>7</v>
      </c>
      <c r="C34" t="s">
        <v>45</v>
      </c>
      <c r="D34" s="17">
        <v>18.525176470588239</v>
      </c>
      <c r="E34" s="27"/>
      <c r="F34" s="27"/>
      <c r="G34" s="27"/>
      <c r="H34" s="27"/>
      <c r="I34" s="27"/>
      <c r="J34" s="27"/>
      <c r="K34" s="27"/>
      <c r="L34" s="27"/>
      <c r="M34" s="27"/>
    </row>
    <row r="35" spans="2:27" ht="25.5" customHeight="1" x14ac:dyDescent="0.25">
      <c r="B35" s="1" t="s">
        <v>8</v>
      </c>
      <c r="C35" t="s">
        <v>44</v>
      </c>
      <c r="D35" s="17">
        <v>15.552000000000001</v>
      </c>
      <c r="E35" s="27"/>
      <c r="F35" s="27"/>
      <c r="G35" s="27"/>
      <c r="H35" s="27"/>
      <c r="I35" s="27"/>
      <c r="J35" s="27"/>
      <c r="K35" s="27"/>
      <c r="L35" s="27"/>
      <c r="M35" s="27"/>
    </row>
    <row r="36" spans="2:27" ht="25.5" customHeight="1" x14ac:dyDescent="0.25">
      <c r="B36" s="1" t="s">
        <v>9</v>
      </c>
      <c r="C36" t="s">
        <v>42</v>
      </c>
      <c r="D36" s="17">
        <v>15.552000000000001</v>
      </c>
      <c r="E36" s="27"/>
      <c r="F36" s="27"/>
      <c r="G36" s="27"/>
      <c r="H36" s="27"/>
      <c r="I36" s="27"/>
      <c r="J36" s="27"/>
      <c r="K36" s="27"/>
    </row>
    <row r="37" spans="2:27" ht="25.5" customHeight="1" x14ac:dyDescent="0.25">
      <c r="B37" s="1" t="s">
        <v>11</v>
      </c>
      <c r="C37" t="s">
        <v>43</v>
      </c>
      <c r="D37" s="17">
        <v>23.328000000000003</v>
      </c>
      <c r="E37" s="27"/>
      <c r="F37" s="27"/>
      <c r="G37" s="27"/>
      <c r="H37" s="27"/>
      <c r="I37" s="27"/>
      <c r="J37" s="27"/>
      <c r="K37" s="27"/>
      <c r="L37" s="4"/>
      <c r="M37" s="4"/>
      <c r="N37" s="4"/>
    </row>
    <row r="38" spans="2:27" ht="25.5" customHeight="1" x14ac:dyDescent="0.25">
      <c r="B38" s="1" t="s">
        <v>12</v>
      </c>
      <c r="D38" s="17">
        <v>11.664000000000001</v>
      </c>
    </row>
    <row r="39" spans="2:27" ht="25.5" customHeight="1" x14ac:dyDescent="0.25">
      <c r="E39" s="4"/>
      <c r="F39" s="4"/>
      <c r="G39" s="4"/>
      <c r="H39" s="4"/>
      <c r="I39" s="4"/>
      <c r="J39" s="4"/>
      <c r="K39" s="4"/>
      <c r="O39" s="4"/>
    </row>
    <row r="40" spans="2:27" ht="25.5" customHeight="1" x14ac:dyDescent="0.25">
      <c r="D40" s="4"/>
      <c r="Q40" s="4"/>
      <c r="R40" s="4"/>
      <c r="S40" s="4"/>
      <c r="T40" s="4"/>
    </row>
    <row r="41" spans="2:27" ht="25.5" customHeight="1" x14ac:dyDescent="0.25">
      <c r="P41" s="4"/>
      <c r="U41" s="4"/>
      <c r="Y41" s="4"/>
      <c r="Z41" s="4"/>
      <c r="AA41" s="4"/>
    </row>
  </sheetData>
  <mergeCells count="8">
    <mergeCell ref="A12:A17"/>
    <mergeCell ref="A8:A10"/>
    <mergeCell ref="Q1:S1"/>
    <mergeCell ref="H1:J1"/>
    <mergeCell ref="E1:F1"/>
    <mergeCell ref="L1:N1"/>
    <mergeCell ref="A1:C1"/>
    <mergeCell ref="A2:A6"/>
  </mergeCells>
  <pageMargins left="0.7" right="0.7" top="0.75" bottom="0.75" header="0.3" footer="0.3"/>
  <pageSetup paperSize="9" orientation="portrait" horizontalDpi="4294967293" vertic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Вячеслав Екимов</dc:creator>
  <cp:lastModifiedBy>Вячеслав Екимов</cp:lastModifiedBy>
  <dcterms:created xsi:type="dcterms:W3CDTF">2026-05-09T22:54:44Z</dcterms:created>
  <dcterms:modified xsi:type="dcterms:W3CDTF">2026-05-25T18:47:10Z</dcterms:modified>
</cp:coreProperties>
</file>